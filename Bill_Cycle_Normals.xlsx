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iscovery\Kentucky\1 - Kentucky Rate Cases\2021-00214 (2021 Kentucky Rate Case)\Staff Set 3 Attachments\"/>
    </mc:Choice>
  </mc:AlternateContent>
  <xr:revisionPtr revIDLastSave="0" documentId="13_ncr:1_{D8692E16-831F-493A-B9CB-042FE983A11F}" xr6:coauthVersionLast="47" xr6:coauthVersionMax="47" xr10:uidLastSave="{00000000-0000-0000-0000-000000000000}"/>
  <bookViews>
    <workbookView xWindow="-120" yWindow="-120" windowWidth="29040" windowHeight="15840" xr2:uid="{CAC2F3A3-D392-41A6-985F-6B51FC206F0A}"/>
  </bookViews>
  <sheets>
    <sheet name="BC NDDs - 10Yr Mar21" sheetId="2" r:id="rId1"/>
    <sheet name="BC NDDs - 20Yr Mar21" sheetId="3" r:id="rId2"/>
  </sheets>
  <definedNames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X" localSheetId="1" hidden="1">#REF!</definedName>
    <definedName name="__123Graph_X" hidden="1">#REF!</definedName>
    <definedName name="_Dist_Bin" localSheetId="1" hidden="1">#REF!</definedName>
    <definedName name="_Dist_Bin" hidden="1">#REF!</definedName>
    <definedName name="_Dist_Values" localSheetId="1" hidden="1">#REF!</definedName>
    <definedName name="_Dist_Values" hidden="1">#REF!</definedName>
    <definedName name="_Fill" localSheetId="1" hidden="1">#REF!</definedName>
    <definedName name="_Fill" hidden="1">#REF!</definedName>
    <definedName name="_Order1" hidden="1">255</definedName>
    <definedName name="_Order2" hidden="1">255</definedName>
    <definedName name="_Regression_Out" localSheetId="1" hidden="1">#REF!</definedName>
    <definedName name="_Regression_Out" hidden="1">#REF!</definedName>
    <definedName name="_Regression_Y" localSheetId="1" hidden="1">#REF!</definedName>
    <definedName name="_Regression_Y" hidden="1">#REF!</definedName>
    <definedName name="_xlnm.Print_Area" localSheetId="0">'BC NDDs - 10Yr Mar21'!$C$1:$I$418</definedName>
    <definedName name="_xlnm.Print_Area" localSheetId="1">'BC NDDs - 20Yr Mar21'!$C$1:$I$418</definedName>
    <definedName name="_xlnm.Print_Titles" localSheetId="0">'BC NDDs - 10Yr Mar21'!$33:$33</definedName>
    <definedName name="_xlnm.Print_Titles" localSheetId="1">'BC NDDs - 20Yr Mar21'!$33:$33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3" l="1"/>
  <c r="C35" i="3" s="1"/>
  <c r="C36" i="3" s="1"/>
  <c r="C37" i="3" s="1"/>
  <c r="C38" i="3" s="1"/>
  <c r="E7" i="3"/>
  <c r="D8" i="3" s="1"/>
  <c r="I25" i="3"/>
  <c r="H27" i="3"/>
  <c r="F27" i="3"/>
  <c r="E27" i="3"/>
  <c r="F418" i="2"/>
  <c r="I26" i="2"/>
  <c r="I25" i="2"/>
  <c r="F27" i="2"/>
  <c r="E27" i="2"/>
  <c r="F7" i="2"/>
  <c r="C35" i="2" s="1"/>
  <c r="E7" i="2"/>
  <c r="G7" i="2" s="1"/>
  <c r="F8" i="2" s="1"/>
  <c r="G27" i="3" l="1"/>
  <c r="G7" i="3"/>
  <c r="F8" i="3" s="1"/>
  <c r="C39" i="3"/>
  <c r="E8" i="3"/>
  <c r="I26" i="3"/>
  <c r="D27" i="3"/>
  <c r="I24" i="3"/>
  <c r="E418" i="3"/>
  <c r="D418" i="3"/>
  <c r="F418" i="3"/>
  <c r="G418" i="3"/>
  <c r="H418" i="3"/>
  <c r="E418" i="2"/>
  <c r="G27" i="2"/>
  <c r="G418" i="2"/>
  <c r="H418" i="2"/>
  <c r="D27" i="2"/>
  <c r="H27" i="2"/>
  <c r="D418" i="2"/>
  <c r="C36" i="2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D8" i="2"/>
  <c r="I24" i="2"/>
  <c r="I27" i="2" l="1"/>
  <c r="C40" i="3"/>
  <c r="D9" i="3"/>
  <c r="G8" i="3"/>
  <c r="I27" i="3"/>
  <c r="E29" i="2"/>
  <c r="H29" i="2"/>
  <c r="G29" i="2"/>
  <c r="E8" i="2"/>
  <c r="F29" i="2"/>
  <c r="D29" i="2"/>
  <c r="C41" i="3" l="1"/>
  <c r="F9" i="3"/>
  <c r="E9" i="3"/>
  <c r="E29" i="3"/>
  <c r="H29" i="3"/>
  <c r="G29" i="3"/>
  <c r="F29" i="3"/>
  <c r="D29" i="3"/>
  <c r="I409" i="2"/>
  <c r="I397" i="2"/>
  <c r="I385" i="2"/>
  <c r="I373" i="2"/>
  <c r="I361" i="2"/>
  <c r="I349" i="2"/>
  <c r="I337" i="2"/>
  <c r="I325" i="2"/>
  <c r="I313" i="2"/>
  <c r="I301" i="2"/>
  <c r="I289" i="2"/>
  <c r="I277" i="2"/>
  <c r="I265" i="2"/>
  <c r="I253" i="2"/>
  <c r="I241" i="2"/>
  <c r="I229" i="2"/>
  <c r="I217" i="2"/>
  <c r="I205" i="2"/>
  <c r="I193" i="2"/>
  <c r="I181" i="2"/>
  <c r="I169" i="2"/>
  <c r="I157" i="2"/>
  <c r="I145" i="2"/>
  <c r="I133" i="2"/>
  <c r="I121" i="2"/>
  <c r="I109" i="2"/>
  <c r="I97" i="2"/>
  <c r="I85" i="2"/>
  <c r="I73" i="2"/>
  <c r="I61" i="2"/>
  <c r="I49" i="2"/>
  <c r="I37" i="2"/>
  <c r="I414" i="2"/>
  <c r="I402" i="2"/>
  <c r="I390" i="2"/>
  <c r="I378" i="2"/>
  <c r="I366" i="2"/>
  <c r="I354" i="2"/>
  <c r="I342" i="2"/>
  <c r="I330" i="2"/>
  <c r="I318" i="2"/>
  <c r="I306" i="2"/>
  <c r="I294" i="2"/>
  <c r="I282" i="2"/>
  <c r="I270" i="2"/>
  <c r="I258" i="2"/>
  <c r="I246" i="2"/>
  <c r="I234" i="2"/>
  <c r="I222" i="2"/>
  <c r="I210" i="2"/>
  <c r="I198" i="2"/>
  <c r="I186" i="2"/>
  <c r="I174" i="2"/>
  <c r="I162" i="2"/>
  <c r="I150" i="2"/>
  <c r="I138" i="2"/>
  <c r="I126" i="2"/>
  <c r="I114" i="2"/>
  <c r="I102" i="2"/>
  <c r="I90" i="2"/>
  <c r="I78" i="2"/>
  <c r="I66" i="2"/>
  <c r="I54" i="2"/>
  <c r="I42" i="2"/>
  <c r="I407" i="2"/>
  <c r="I335" i="2"/>
  <c r="I275" i="2"/>
  <c r="I263" i="2"/>
  <c r="I251" i="2"/>
  <c r="I239" i="2"/>
  <c r="I227" i="2"/>
  <c r="I215" i="2"/>
  <c r="I203" i="2"/>
  <c r="I191" i="2"/>
  <c r="I179" i="2"/>
  <c r="I167" i="2"/>
  <c r="I155" i="2"/>
  <c r="I143" i="2"/>
  <c r="I131" i="2"/>
  <c r="I119" i="2"/>
  <c r="I107" i="2"/>
  <c r="I95" i="2"/>
  <c r="I83" i="2"/>
  <c r="I71" i="2"/>
  <c r="I59" i="2"/>
  <c r="I47" i="2"/>
  <c r="I35" i="2"/>
  <c r="I412" i="2"/>
  <c r="I400" i="2"/>
  <c r="I388" i="2"/>
  <c r="I69" i="2"/>
  <c r="I57" i="2"/>
  <c r="I45" i="2"/>
  <c r="I415" i="2"/>
  <c r="I403" i="2"/>
  <c r="I391" i="2"/>
  <c r="I379" i="2"/>
  <c r="I367" i="2"/>
  <c r="I355" i="2"/>
  <c r="I343" i="2"/>
  <c r="I331" i="2"/>
  <c r="I319" i="2"/>
  <c r="I307" i="2"/>
  <c r="I295" i="2"/>
  <c r="I283" i="2"/>
  <c r="I271" i="2"/>
  <c r="I259" i="2"/>
  <c r="I247" i="2"/>
  <c r="I235" i="2"/>
  <c r="I223" i="2"/>
  <c r="I211" i="2"/>
  <c r="I199" i="2"/>
  <c r="I187" i="2"/>
  <c r="I175" i="2"/>
  <c r="I163" i="2"/>
  <c r="I151" i="2"/>
  <c r="I139" i="2"/>
  <c r="I127" i="2"/>
  <c r="I115" i="2"/>
  <c r="I103" i="2"/>
  <c r="I91" i="2"/>
  <c r="I79" i="2"/>
  <c r="I67" i="2"/>
  <c r="I55" i="2"/>
  <c r="I43" i="2"/>
  <c r="I408" i="2"/>
  <c r="I396" i="2"/>
  <c r="I384" i="2"/>
  <c r="I372" i="2"/>
  <c r="I360" i="2"/>
  <c r="I348" i="2"/>
  <c r="I336" i="2"/>
  <c r="I324" i="2"/>
  <c r="I312" i="2"/>
  <c r="I300" i="2"/>
  <c r="I288" i="2"/>
  <c r="I276" i="2"/>
  <c r="I264" i="2"/>
  <c r="I252" i="2"/>
  <c r="I240" i="2"/>
  <c r="I228" i="2"/>
  <c r="I216" i="2"/>
  <c r="I204" i="2"/>
  <c r="I192" i="2"/>
  <c r="I180" i="2"/>
  <c r="I168" i="2"/>
  <c r="I156" i="2"/>
  <c r="I144" i="2"/>
  <c r="I132" i="2"/>
  <c r="I120" i="2"/>
  <c r="I108" i="2"/>
  <c r="I96" i="2"/>
  <c r="I84" i="2"/>
  <c r="I72" i="2"/>
  <c r="I60" i="2"/>
  <c r="I48" i="2"/>
  <c r="I36" i="2"/>
  <c r="I353" i="2"/>
  <c r="I305" i="2"/>
  <c r="I293" i="2"/>
  <c r="I281" i="2"/>
  <c r="I269" i="2"/>
  <c r="I257" i="2"/>
  <c r="I245" i="2"/>
  <c r="I233" i="2"/>
  <c r="I221" i="2"/>
  <c r="I209" i="2"/>
  <c r="I197" i="2"/>
  <c r="I185" i="2"/>
  <c r="I173" i="2"/>
  <c r="I161" i="2"/>
  <c r="I149" i="2"/>
  <c r="I137" i="2"/>
  <c r="I125" i="2"/>
  <c r="I113" i="2"/>
  <c r="I101" i="2"/>
  <c r="I89" i="2"/>
  <c r="I77" i="2"/>
  <c r="I65" i="2"/>
  <c r="I53" i="2"/>
  <c r="I41" i="2"/>
  <c r="I406" i="2"/>
  <c r="I394" i="2"/>
  <c r="I382" i="2"/>
  <c r="I370" i="2"/>
  <c r="I358" i="2"/>
  <c r="I303" i="2"/>
  <c r="I291" i="2"/>
  <c r="I279" i="2"/>
  <c r="I267" i="2"/>
  <c r="I255" i="2"/>
  <c r="I243" i="2"/>
  <c r="I231" i="2"/>
  <c r="I219" i="2"/>
  <c r="I207" i="2"/>
  <c r="I195" i="2"/>
  <c r="I183" i="2"/>
  <c r="I171" i="2"/>
  <c r="I159" i="2"/>
  <c r="I147" i="2"/>
  <c r="I135" i="2"/>
  <c r="I123" i="2"/>
  <c r="I111" i="2"/>
  <c r="I99" i="2"/>
  <c r="I87" i="2"/>
  <c r="I75" i="2"/>
  <c r="I63" i="2"/>
  <c r="I51" i="2"/>
  <c r="I39" i="2"/>
  <c r="I176" i="2"/>
  <c r="I320" i="2"/>
  <c r="I311" i="2"/>
  <c r="I76" i="2"/>
  <c r="I220" i="2"/>
  <c r="I364" i="2"/>
  <c r="I201" i="2"/>
  <c r="I345" i="2"/>
  <c r="I110" i="2"/>
  <c r="I254" i="2"/>
  <c r="I398" i="2"/>
  <c r="I44" i="2"/>
  <c r="I188" i="2"/>
  <c r="I332" i="2"/>
  <c r="I323" i="2"/>
  <c r="I88" i="2"/>
  <c r="I232" i="2"/>
  <c r="I376" i="2"/>
  <c r="I213" i="2"/>
  <c r="I357" i="2"/>
  <c r="I122" i="2"/>
  <c r="I266" i="2"/>
  <c r="I410" i="2"/>
  <c r="I56" i="2"/>
  <c r="I200" i="2"/>
  <c r="I344" i="2"/>
  <c r="I347" i="2"/>
  <c r="I100" i="2"/>
  <c r="I244" i="2"/>
  <c r="I81" i="2"/>
  <c r="I225" i="2"/>
  <c r="I369" i="2"/>
  <c r="I134" i="2"/>
  <c r="I278" i="2"/>
  <c r="I68" i="2"/>
  <c r="I212" i="2"/>
  <c r="I356" i="2"/>
  <c r="I359" i="2"/>
  <c r="I112" i="2"/>
  <c r="I256" i="2"/>
  <c r="I93" i="2"/>
  <c r="I237" i="2"/>
  <c r="I381" i="2"/>
  <c r="I146" i="2"/>
  <c r="I290" i="2"/>
  <c r="I317" i="2"/>
  <c r="I80" i="2"/>
  <c r="I224" i="2"/>
  <c r="I368" i="2"/>
  <c r="I371" i="2"/>
  <c r="I124" i="2"/>
  <c r="I268" i="2"/>
  <c r="I105" i="2"/>
  <c r="I249" i="2"/>
  <c r="I393" i="2"/>
  <c r="I158" i="2"/>
  <c r="I302" i="2"/>
  <c r="I329" i="2"/>
  <c r="I92" i="2"/>
  <c r="I236" i="2"/>
  <c r="I380" i="2"/>
  <c r="I383" i="2"/>
  <c r="I136" i="2"/>
  <c r="I280" i="2"/>
  <c r="I117" i="2"/>
  <c r="I261" i="2"/>
  <c r="I405" i="2"/>
  <c r="I170" i="2"/>
  <c r="I314" i="2"/>
  <c r="I341" i="2"/>
  <c r="I106" i="2"/>
  <c r="I250" i="2"/>
  <c r="I351" i="2"/>
  <c r="I104" i="2"/>
  <c r="I248" i="2"/>
  <c r="I392" i="2"/>
  <c r="I395" i="2"/>
  <c r="I148" i="2"/>
  <c r="I292" i="2"/>
  <c r="I129" i="2"/>
  <c r="I273" i="2"/>
  <c r="I38" i="2"/>
  <c r="I182" i="2"/>
  <c r="I326" i="2"/>
  <c r="I365" i="2"/>
  <c r="I118" i="2"/>
  <c r="I262" i="2"/>
  <c r="I363" i="2"/>
  <c r="I116" i="2"/>
  <c r="I260" i="2"/>
  <c r="I404" i="2"/>
  <c r="I160" i="2"/>
  <c r="I304" i="2"/>
  <c r="I141" i="2"/>
  <c r="I285" i="2"/>
  <c r="I50" i="2"/>
  <c r="I194" i="2"/>
  <c r="I338" i="2"/>
  <c r="I377" i="2"/>
  <c r="I401" i="2"/>
  <c r="I399" i="2"/>
  <c r="I310" i="2"/>
  <c r="I46" i="2"/>
  <c r="I334" i="2"/>
  <c r="I202" i="2"/>
  <c r="I82" i="2"/>
  <c r="I94" i="2"/>
  <c r="I339" i="2"/>
  <c r="I130" i="2"/>
  <c r="I274" i="2"/>
  <c r="I375" i="2"/>
  <c r="I128" i="2"/>
  <c r="I272" i="2"/>
  <c r="I172" i="2"/>
  <c r="I316" i="2"/>
  <c r="I153" i="2"/>
  <c r="I297" i="2"/>
  <c r="I62" i="2"/>
  <c r="I206" i="2"/>
  <c r="I350" i="2"/>
  <c r="I389" i="2"/>
  <c r="I165" i="2"/>
  <c r="I142" i="2"/>
  <c r="I286" i="2"/>
  <c r="I387" i="2"/>
  <c r="I218" i="2"/>
  <c r="I154" i="2"/>
  <c r="I166" i="2"/>
  <c r="I411" i="2"/>
  <c r="I190" i="2"/>
  <c r="I214" i="2"/>
  <c r="I140" i="2"/>
  <c r="I284" i="2"/>
  <c r="I40" i="2"/>
  <c r="I184" i="2"/>
  <c r="I328" i="2"/>
  <c r="I309" i="2"/>
  <c r="I74" i="2"/>
  <c r="I362" i="2"/>
  <c r="I298" i="2"/>
  <c r="I58" i="2"/>
  <c r="I346" i="2"/>
  <c r="I70" i="2"/>
  <c r="I315" i="2"/>
  <c r="I226" i="2"/>
  <c r="I327" i="2"/>
  <c r="I238" i="2"/>
  <c r="I152" i="2"/>
  <c r="I296" i="2"/>
  <c r="I287" i="2"/>
  <c r="I52" i="2"/>
  <c r="I196" i="2"/>
  <c r="I340" i="2"/>
  <c r="I177" i="2"/>
  <c r="I321" i="2"/>
  <c r="I86" i="2"/>
  <c r="I230" i="2"/>
  <c r="I374" i="2"/>
  <c r="I413" i="2"/>
  <c r="I164" i="2"/>
  <c r="I308" i="2"/>
  <c r="I299" i="2"/>
  <c r="I64" i="2"/>
  <c r="I208" i="2"/>
  <c r="I352" i="2"/>
  <c r="I189" i="2"/>
  <c r="I333" i="2"/>
  <c r="I98" i="2"/>
  <c r="I242" i="2"/>
  <c r="I386" i="2"/>
  <c r="I178" i="2"/>
  <c r="I322" i="2"/>
  <c r="D9" i="2"/>
  <c r="G8" i="2"/>
  <c r="C42" i="3" l="1"/>
  <c r="D10" i="3"/>
  <c r="G9" i="3"/>
  <c r="F10" i="3" s="1"/>
  <c r="I412" i="3"/>
  <c r="I406" i="3"/>
  <c r="I400" i="3"/>
  <c r="I394" i="3"/>
  <c r="I388" i="3"/>
  <c r="I382" i="3"/>
  <c r="I376" i="3"/>
  <c r="I370" i="3"/>
  <c r="I364" i="3"/>
  <c r="I358" i="3"/>
  <c r="I352" i="3"/>
  <c r="I346" i="3"/>
  <c r="I340" i="3"/>
  <c r="I334" i="3"/>
  <c r="I328" i="3"/>
  <c r="I322" i="3"/>
  <c r="I316" i="3"/>
  <c r="I310" i="3"/>
  <c r="I304" i="3"/>
  <c r="I298" i="3"/>
  <c r="I292" i="3"/>
  <c r="I286" i="3"/>
  <c r="I225" i="3"/>
  <c r="I219" i="3"/>
  <c r="I213" i="3"/>
  <c r="I207" i="3"/>
  <c r="I415" i="3"/>
  <c r="I409" i="3"/>
  <c r="I403" i="3"/>
  <c r="I397" i="3"/>
  <c r="I391" i="3"/>
  <c r="I385" i="3"/>
  <c r="I379" i="3"/>
  <c r="I373" i="3"/>
  <c r="I367" i="3"/>
  <c r="I361" i="3"/>
  <c r="I355" i="3"/>
  <c r="I349" i="3"/>
  <c r="I343" i="3"/>
  <c r="I337" i="3"/>
  <c r="I331" i="3"/>
  <c r="I325" i="3"/>
  <c r="I319" i="3"/>
  <c r="I313" i="3"/>
  <c r="I307" i="3"/>
  <c r="I301" i="3"/>
  <c r="I295" i="3"/>
  <c r="I289" i="3"/>
  <c r="I283" i="3"/>
  <c r="I277" i="3"/>
  <c r="I271" i="3"/>
  <c r="I265" i="3"/>
  <c r="I259" i="3"/>
  <c r="I253" i="3"/>
  <c r="I247" i="3"/>
  <c r="I241" i="3"/>
  <c r="I235" i="3"/>
  <c r="I229" i="3"/>
  <c r="I223" i="3"/>
  <c r="I217" i="3"/>
  <c r="I211" i="3"/>
  <c r="I205" i="3"/>
  <c r="I199" i="3"/>
  <c r="I193" i="3"/>
  <c r="I187" i="3"/>
  <c r="I181" i="3"/>
  <c r="I175" i="3"/>
  <c r="I401" i="3"/>
  <c r="I365" i="3"/>
  <c r="I329" i="3"/>
  <c r="I293" i="3"/>
  <c r="I257" i="3"/>
  <c r="I221" i="3"/>
  <c r="I179" i="3"/>
  <c r="I165" i="3"/>
  <c r="I159" i="3"/>
  <c r="I153" i="3"/>
  <c r="I147" i="3"/>
  <c r="I141" i="3"/>
  <c r="I135" i="3"/>
  <c r="I129" i="3"/>
  <c r="I123" i="3"/>
  <c r="I117" i="3"/>
  <c r="I111" i="3"/>
  <c r="I105" i="3"/>
  <c r="I99" i="3"/>
  <c r="I93" i="3"/>
  <c r="I87" i="3"/>
  <c r="I81" i="3"/>
  <c r="I75" i="3"/>
  <c r="I69" i="3"/>
  <c r="I63" i="3"/>
  <c r="I57" i="3"/>
  <c r="I51" i="3"/>
  <c r="I45" i="3"/>
  <c r="I39" i="3"/>
  <c r="I395" i="3"/>
  <c r="I359" i="3"/>
  <c r="I323" i="3"/>
  <c r="I287" i="3"/>
  <c r="I251" i="3"/>
  <c r="I215" i="3"/>
  <c r="I164" i="3"/>
  <c r="I158" i="3"/>
  <c r="I152" i="3"/>
  <c r="I146" i="3"/>
  <c r="I140" i="3"/>
  <c r="I134" i="3"/>
  <c r="I128" i="3"/>
  <c r="I122" i="3"/>
  <c r="I116" i="3"/>
  <c r="I110" i="3"/>
  <c r="I104" i="3"/>
  <c r="I98" i="3"/>
  <c r="I92" i="3"/>
  <c r="I86" i="3"/>
  <c r="I80" i="3"/>
  <c r="I74" i="3"/>
  <c r="I68" i="3"/>
  <c r="I62" i="3"/>
  <c r="I56" i="3"/>
  <c r="I50" i="3"/>
  <c r="I44" i="3"/>
  <c r="I201" i="3"/>
  <c r="I173" i="3"/>
  <c r="I171" i="3"/>
  <c r="I389" i="3"/>
  <c r="I353" i="3"/>
  <c r="I317" i="3"/>
  <c r="I281" i="3"/>
  <c r="I245" i="3"/>
  <c r="I209" i="3"/>
  <c r="I163" i="3"/>
  <c r="I157" i="3"/>
  <c r="I151" i="3"/>
  <c r="I145" i="3"/>
  <c r="I139" i="3"/>
  <c r="I133" i="3"/>
  <c r="I127" i="3"/>
  <c r="I121" i="3"/>
  <c r="I115" i="3"/>
  <c r="I109" i="3"/>
  <c r="I103" i="3"/>
  <c r="I97" i="3"/>
  <c r="I91" i="3"/>
  <c r="I85" i="3"/>
  <c r="I79" i="3"/>
  <c r="I73" i="3"/>
  <c r="I67" i="3"/>
  <c r="I61" i="3"/>
  <c r="I55" i="3"/>
  <c r="I49" i="3"/>
  <c r="I43" i="3"/>
  <c r="I37" i="3"/>
  <c r="I169" i="3"/>
  <c r="I383" i="3"/>
  <c r="I347" i="3"/>
  <c r="I311" i="3"/>
  <c r="I275" i="3"/>
  <c r="I239" i="3"/>
  <c r="I203" i="3"/>
  <c r="I162" i="3"/>
  <c r="I156" i="3"/>
  <c r="I150" i="3"/>
  <c r="I144" i="3"/>
  <c r="I138" i="3"/>
  <c r="I132" i="3"/>
  <c r="I126" i="3"/>
  <c r="I120" i="3"/>
  <c r="I114" i="3"/>
  <c r="I108" i="3"/>
  <c r="I102" i="3"/>
  <c r="I96" i="3"/>
  <c r="I90" i="3"/>
  <c r="I84" i="3"/>
  <c r="I78" i="3"/>
  <c r="I72" i="3"/>
  <c r="I66" i="3"/>
  <c r="I60" i="3"/>
  <c r="I54" i="3"/>
  <c r="I48" i="3"/>
  <c r="I42" i="3"/>
  <c r="I36" i="3"/>
  <c r="I195" i="3"/>
  <c r="I413" i="3"/>
  <c r="I377" i="3"/>
  <c r="I341" i="3"/>
  <c r="I305" i="3"/>
  <c r="I269" i="3"/>
  <c r="I233" i="3"/>
  <c r="I335" i="3"/>
  <c r="I180" i="3"/>
  <c r="I166" i="3"/>
  <c r="I130" i="3"/>
  <c r="I94" i="3"/>
  <c r="I58" i="3"/>
  <c r="I299" i="3"/>
  <c r="I160" i="3"/>
  <c r="I124" i="3"/>
  <c r="I88" i="3"/>
  <c r="I52" i="3"/>
  <c r="I263" i="3"/>
  <c r="I38" i="3"/>
  <c r="I154" i="3"/>
  <c r="I118" i="3"/>
  <c r="I82" i="3"/>
  <c r="I46" i="3"/>
  <c r="I227" i="3"/>
  <c r="I148" i="3"/>
  <c r="I112" i="3"/>
  <c r="I76" i="3"/>
  <c r="I40" i="3"/>
  <c r="I407" i="3"/>
  <c r="I197" i="3"/>
  <c r="I185" i="3"/>
  <c r="I142" i="3"/>
  <c r="I106" i="3"/>
  <c r="I70" i="3"/>
  <c r="I371" i="3"/>
  <c r="I136" i="3"/>
  <c r="I100" i="3"/>
  <c r="I64" i="3"/>
  <c r="I71" i="3"/>
  <c r="I210" i="3"/>
  <c r="I238" i="3"/>
  <c r="I368" i="3"/>
  <c r="I345" i="3"/>
  <c r="I258" i="3"/>
  <c r="I214" i="3"/>
  <c r="I336" i="3"/>
  <c r="I357" i="3"/>
  <c r="I342" i="3"/>
  <c r="I363" i="3"/>
  <c r="I232" i="3"/>
  <c r="I362" i="3"/>
  <c r="I294" i="3"/>
  <c r="I249" i="3"/>
  <c r="I255" i="3"/>
  <c r="I189" i="3"/>
  <c r="I59" i="3"/>
  <c r="I267" i="3"/>
  <c r="I324" i="3"/>
  <c r="I381" i="3"/>
  <c r="I243" i="3"/>
  <c r="I256" i="3"/>
  <c r="I399" i="3"/>
  <c r="I261" i="3"/>
  <c r="I47" i="3"/>
  <c r="I155" i="3"/>
  <c r="I168" i="3"/>
  <c r="I41" i="3"/>
  <c r="I149" i="3"/>
  <c r="I375" i="3"/>
  <c r="I288" i="3"/>
  <c r="I230" i="3"/>
  <c r="I380" i="3"/>
  <c r="I242" i="3"/>
  <c r="I248" i="3"/>
  <c r="I312" i="3"/>
  <c r="I369" i="3"/>
  <c r="I101" i="3"/>
  <c r="I260" i="3"/>
  <c r="I237" i="3"/>
  <c r="I374" i="3"/>
  <c r="I236" i="3"/>
  <c r="I387" i="3"/>
  <c r="I372" i="3"/>
  <c r="I386" i="3"/>
  <c r="I378" i="3"/>
  <c r="I392" i="3"/>
  <c r="I254" i="3"/>
  <c r="I398" i="3"/>
  <c r="I89" i="3"/>
  <c r="I167" i="3"/>
  <c r="I404" i="3"/>
  <c r="I244" i="3"/>
  <c r="I393" i="3"/>
  <c r="I262" i="3"/>
  <c r="I348" i="3"/>
  <c r="I405" i="3"/>
  <c r="I174" i="3"/>
  <c r="I354" i="3"/>
  <c r="I107" i="3"/>
  <c r="I177" i="3"/>
  <c r="I246" i="3"/>
  <c r="I274" i="3"/>
  <c r="I35" i="3"/>
  <c r="I137" i="3"/>
  <c r="I170" i="3"/>
  <c r="I296" i="3"/>
  <c r="I273" i="3"/>
  <c r="I366" i="3"/>
  <c r="I279" i="3"/>
  <c r="I228" i="3"/>
  <c r="I285" i="3"/>
  <c r="I234" i="3"/>
  <c r="I184" i="3"/>
  <c r="I291" i="3"/>
  <c r="I290" i="3"/>
  <c r="I186" i="3"/>
  <c r="I350" i="3"/>
  <c r="I183" i="3"/>
  <c r="I178" i="3"/>
  <c r="I344" i="3"/>
  <c r="I224" i="3"/>
  <c r="I83" i="3"/>
  <c r="I231" i="3"/>
  <c r="I302" i="3"/>
  <c r="I351" i="3"/>
  <c r="I198" i="3"/>
  <c r="I332" i="3"/>
  <c r="I264" i="3"/>
  <c r="I278" i="3"/>
  <c r="I327" i="3"/>
  <c r="I161" i="3"/>
  <c r="I339" i="3"/>
  <c r="I410" i="3"/>
  <c r="I176" i="3"/>
  <c r="I414" i="3"/>
  <c r="I318" i="3"/>
  <c r="I315" i="3"/>
  <c r="I204" i="3"/>
  <c r="I266" i="3"/>
  <c r="I282" i="3"/>
  <c r="I216" i="3"/>
  <c r="I182" i="3"/>
  <c r="I297" i="3"/>
  <c r="I125" i="3"/>
  <c r="I191" i="3"/>
  <c r="I252" i="3"/>
  <c r="I309" i="3"/>
  <c r="I206" i="3"/>
  <c r="I270" i="3"/>
  <c r="I284" i="3"/>
  <c r="I276" i="3"/>
  <c r="I326" i="3"/>
  <c r="I360" i="3"/>
  <c r="I320" i="3"/>
  <c r="I396" i="3"/>
  <c r="I411" i="3"/>
  <c r="I321" i="3"/>
  <c r="I192" i="3"/>
  <c r="I208" i="3"/>
  <c r="I308" i="3"/>
  <c r="I408" i="3"/>
  <c r="I196" i="3"/>
  <c r="I194" i="3"/>
  <c r="I218" i="3"/>
  <c r="I202" i="3"/>
  <c r="I222" i="3"/>
  <c r="I65" i="3"/>
  <c r="I303" i="3"/>
  <c r="I402" i="3"/>
  <c r="I220" i="3"/>
  <c r="I333" i="3"/>
  <c r="I119" i="3"/>
  <c r="I131" i="3"/>
  <c r="I338" i="3"/>
  <c r="I306" i="3"/>
  <c r="I384" i="3"/>
  <c r="I200" i="3"/>
  <c r="I268" i="3"/>
  <c r="I113" i="3"/>
  <c r="I212" i="3"/>
  <c r="I53" i="3"/>
  <c r="I95" i="3"/>
  <c r="I390" i="3"/>
  <c r="I330" i="3"/>
  <c r="I226" i="3"/>
  <c r="I143" i="3"/>
  <c r="I172" i="3"/>
  <c r="I250" i="3"/>
  <c r="I300" i="3"/>
  <c r="I314" i="3"/>
  <c r="I356" i="3"/>
  <c r="I190" i="3"/>
  <c r="I77" i="3"/>
  <c r="I272" i="3"/>
  <c r="I188" i="3"/>
  <c r="I280" i="3"/>
  <c r="I240" i="3"/>
  <c r="F9" i="2"/>
  <c r="I8" i="2"/>
  <c r="E9" i="2"/>
  <c r="H9" i="2" a="1"/>
  <c r="H9" i="2" s="1"/>
  <c r="I418" i="2"/>
  <c r="I7" i="2"/>
  <c r="H7" i="2" a="1"/>
  <c r="H7" i="2" s="1"/>
  <c r="H8" i="2" a="1"/>
  <c r="H8" i="2" s="1"/>
  <c r="C43" i="3" l="1"/>
  <c r="E10" i="3"/>
  <c r="I418" i="3"/>
  <c r="D10" i="2"/>
  <c r="G9" i="2"/>
  <c r="F10" i="2" s="1"/>
  <c r="I9" i="2"/>
  <c r="C44" i="3" l="1"/>
  <c r="D11" i="3"/>
  <c r="G10" i="3"/>
  <c r="H10" i="2" a="1"/>
  <c r="H10" i="2" s="1"/>
  <c r="E10" i="2"/>
  <c r="C45" i="3" l="1"/>
  <c r="F11" i="3"/>
  <c r="E11" i="3"/>
  <c r="G10" i="2"/>
  <c r="D11" i="2"/>
  <c r="C46" i="3" l="1"/>
  <c r="G11" i="3"/>
  <c r="F12" i="3" s="1"/>
  <c r="D12" i="3"/>
  <c r="H11" i="2" a="1"/>
  <c r="H11" i="2" s="1"/>
  <c r="E11" i="2"/>
  <c r="F11" i="2"/>
  <c r="I10" i="2"/>
  <c r="C47" i="3" l="1"/>
  <c r="E12" i="3"/>
  <c r="I11" i="2"/>
  <c r="D12" i="2"/>
  <c r="G11" i="2"/>
  <c r="F12" i="2" s="1"/>
  <c r="C48" i="3" l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D13" i="3"/>
  <c r="G12" i="3"/>
  <c r="H12" i="2" a="1"/>
  <c r="H12" i="2" s="1"/>
  <c r="E12" i="2"/>
  <c r="I11" i="3" l="1" a="1"/>
  <c r="I11" i="3" s="1"/>
  <c r="H9" i="3" a="1"/>
  <c r="H9" i="3" s="1"/>
  <c r="I9" i="3" a="1"/>
  <c r="I9" i="3" s="1"/>
  <c r="H7" i="3" a="1"/>
  <c r="H7" i="3" s="1"/>
  <c r="H12" i="3" a="1"/>
  <c r="H12" i="3" s="1"/>
  <c r="I7" i="3" a="1"/>
  <c r="I7" i="3" s="1"/>
  <c r="I12" i="3" a="1"/>
  <c r="I12" i="3" s="1"/>
  <c r="H11" i="3" a="1"/>
  <c r="H11" i="3" s="1"/>
  <c r="H10" i="3" a="1"/>
  <c r="H10" i="3" s="1"/>
  <c r="I8" i="3" a="1"/>
  <c r="I8" i="3" s="1"/>
  <c r="I10" i="3" a="1"/>
  <c r="I10" i="3" s="1"/>
  <c r="H8" i="3" a="1"/>
  <c r="H8" i="3" s="1"/>
  <c r="F13" i="3"/>
  <c r="E13" i="3"/>
  <c r="H13" i="3" s="1" a="1"/>
  <c r="H13" i="3" s="1"/>
  <c r="G12" i="2"/>
  <c r="D13" i="2"/>
  <c r="G13" i="3" l="1"/>
  <c r="D14" i="3"/>
  <c r="H13" i="2" a="1"/>
  <c r="H13" i="2" s="1"/>
  <c r="E13" i="2"/>
  <c r="F13" i="2"/>
  <c r="I12" i="2"/>
  <c r="F14" i="3" l="1"/>
  <c r="I13" i="3" a="1"/>
  <c r="I13" i="3" s="1"/>
  <c r="H14" i="3" a="1"/>
  <c r="H14" i="3" s="1"/>
  <c r="E14" i="3"/>
  <c r="I13" i="2"/>
  <c r="D14" i="2"/>
  <c r="G13" i="2"/>
  <c r="F14" i="2" s="1"/>
  <c r="I14" i="3" l="1" a="1"/>
  <c r="I14" i="3" s="1"/>
  <c r="D15" i="3"/>
  <c r="G14" i="3"/>
  <c r="E14" i="2"/>
  <c r="H14" i="2" a="1"/>
  <c r="H14" i="2" s="1"/>
  <c r="H15" i="3" l="1" a="1"/>
  <c r="H15" i="3" s="1"/>
  <c r="F15" i="3"/>
  <c r="E15" i="3"/>
  <c r="D15" i="2"/>
  <c r="G14" i="2"/>
  <c r="I15" i="3" l="1" a="1"/>
  <c r="I15" i="3" s="1"/>
  <c r="G15" i="3"/>
  <c r="F16" i="3" s="1"/>
  <c r="D16" i="3"/>
  <c r="H15" i="2" a="1"/>
  <c r="H15" i="2" s="1"/>
  <c r="E15" i="2"/>
  <c r="F15" i="2"/>
  <c r="I14" i="2"/>
  <c r="H16" i="3" l="1" a="1"/>
  <c r="H16" i="3" s="1"/>
  <c r="E16" i="3"/>
  <c r="I15" i="2"/>
  <c r="D16" i="2"/>
  <c r="G15" i="2"/>
  <c r="F16" i="2" s="1"/>
  <c r="D17" i="3" l="1"/>
  <c r="G16" i="3"/>
  <c r="I16" i="3" s="1" a="1"/>
  <c r="I16" i="3" s="1"/>
  <c r="H16" i="2" a="1"/>
  <c r="H16" i="2" s="1"/>
  <c r="E16" i="2"/>
  <c r="H17" i="3" l="1" a="1"/>
  <c r="H17" i="3" s="1"/>
  <c r="E17" i="3"/>
  <c r="F17" i="3"/>
  <c r="D17" i="2"/>
  <c r="G16" i="2"/>
  <c r="I17" i="3" l="1" a="1"/>
  <c r="I17" i="3" s="1"/>
  <c r="D18" i="3"/>
  <c r="G17" i="3"/>
  <c r="F18" i="3" s="1"/>
  <c r="F17" i="2"/>
  <c r="I16" i="2"/>
  <c r="H17" i="2" a="1"/>
  <c r="H17" i="2" s="1"/>
  <c r="E17" i="2"/>
  <c r="I18" i="3" l="1" a="1"/>
  <c r="I18" i="3" s="1"/>
  <c r="I19" i="3" s="1"/>
  <c r="H18" i="3" a="1"/>
  <c r="H18" i="3" s="1"/>
  <c r="H19" i="3" s="1"/>
  <c r="E18" i="3"/>
  <c r="G18" i="3" s="1"/>
  <c r="G17" i="2"/>
  <c r="F18" i="2" s="1"/>
  <c r="D18" i="2"/>
  <c r="I17" i="2"/>
  <c r="H18" i="2" l="1" a="1"/>
  <c r="H18" i="2" s="1"/>
  <c r="H19" i="2" s="1"/>
  <c r="E18" i="2"/>
  <c r="G18" i="2" s="1"/>
  <c r="I18" i="2"/>
  <c r="I1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<sst xmlns="http://schemas.openxmlformats.org/spreadsheetml/2006/main" count="49" uniqueCount="25">
  <si>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Month</t>
  </si>
  <si>
    <t>Normals Calendar HDDs</t>
  </si>
  <si>
    <t>Normals Lagged HDDs</t>
  </si>
  <si>
    <t>Customer</t>
  </si>
  <si>
    <t>EVANSVILLE</t>
  </si>
  <si>
    <t>NASHVILLE</t>
  </si>
  <si>
    <t>LEXINGTON</t>
  </si>
  <si>
    <t>LOUISVILLE</t>
  </si>
  <si>
    <t>PADUCAH</t>
  </si>
  <si>
    <t>Grand Total</t>
  </si>
  <si>
    <t>Residential</t>
  </si>
  <si>
    <t>Commercial</t>
  </si>
  <si>
    <t>Public Authority</t>
  </si>
  <si>
    <t>Weighted</t>
  </si>
  <si>
    <t>Date</t>
  </si>
  <si>
    <t>EVANSVILLE REGIONAL AIRPORT IN US</t>
  </si>
  <si>
    <t>NASHVILLE INTERNATIONAL AIRPORT TN US</t>
  </si>
  <si>
    <t>LEXINGTON BLUEGRASS AIRPORT KY US</t>
  </si>
  <si>
    <t>LOUISVILLE INTERNATIONAL AIRPORT KY US</t>
  </si>
  <si>
    <t>PADUCAH BARKLEY REGIONAL AIRPORT KY US</t>
  </si>
  <si>
    <t>COMP</t>
  </si>
  <si>
    <t>10 YR LAGGED Normal HDDs (2011 - 2021)</t>
  </si>
  <si>
    <t>Total</t>
  </si>
  <si>
    <t>Bill Cycle (Lagged)</t>
  </si>
  <si>
    <t>20 YR LAGGED Normal HDDs (2001 - 2021)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</si>
</sst>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[$-409]d\-mmm\-yy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2"/>
      <name val="Tms Rmn"/>
    </font>
    <font>
      <sz val="12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4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7" fontId="1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37" fontId="2" fillId="0" borderId="0" xfId="1" applyFont="1"/>
    <xf numFmtId="0" fontId="4" fillId="0" borderId="0" xfId="2" applyFont="1"/>
    <xf numFmtId="164" fontId="4" fillId="0" borderId="0" xfId="2" applyNumberFormat="1" applyFont="1"/>
    <xf numFmtId="10" fontId="4" fillId="0" borderId="0" xfId="2" applyNumberFormat="1" applyFont="1"/>
    <xf numFmtId="164" fontId="4" fillId="0" borderId="0" xfId="3" applyNumberFormat="1" applyFont="1" applyFill="1"/>
    <xf numFmtId="166" fontId="4" fillId="0" borderId="0" xfId="3" applyNumberFormat="1" applyFont="1" applyFill="1"/>
    <xf numFmtId="43" fontId="4" fillId="0" borderId="0" xfId="3" applyFont="1" applyFill="1"/>
    <xf numFmtId="166" fontId="4" fillId="0" borderId="5" xfId="3" applyNumberFormat="1" applyFont="1" applyFill="1" applyBorder="1"/>
    <xf numFmtId="0" fontId="3" fillId="0" borderId="0" xfId="2"/>
    <xf numFmtId="0" fontId="4" fillId="0" borderId="0" xfId="2" applyFont="1" applyFill="1"/>
    <xf numFmtId="10" fontId="4" fillId="0" borderId="0" xfId="2" applyNumberFormat="1" applyFont="1" applyFill="1"/>
    <xf numFmtId="0" fontId="4" fillId="0" borderId="0" xfId="2" applyFont="1" applyFill="1" applyAlignment="1">
      <alignment horizontal="center" wrapText="1"/>
    </xf>
    <xf numFmtId="165" fontId="4" fillId="0" borderId="4" xfId="2" applyNumberFormat="1" applyFont="1" applyFill="1" applyBorder="1"/>
    <xf numFmtId="165" fontId="4" fillId="0" borderId="0" xfId="2" applyNumberFormat="1" applyFont="1" applyFill="1"/>
    <xf numFmtId="0" fontId="4" fillId="0" borderId="5" xfId="2" applyFont="1" applyFill="1" applyBorder="1"/>
    <xf numFmtId="0" fontId="4" fillId="0" borderId="6" xfId="2" applyFont="1" applyFill="1" applyBorder="1"/>
    <xf numFmtId="0" fontId="6" fillId="0" borderId="0" xfId="2" applyFont="1" applyFill="1"/>
    <xf numFmtId="10" fontId="6" fillId="0" borderId="0" xfId="2" applyNumberFormat="1" applyFont="1" applyFill="1"/>
    <xf numFmtId="0" fontId="4" fillId="0" borderId="5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 wrapText="1"/>
    </xf>
    <xf numFmtId="3" fontId="4" fillId="0" borderId="0" xfId="2" applyNumberFormat="1" applyFont="1" applyFill="1"/>
    <xf numFmtId="2" fontId="4" fillId="0" borderId="0" xfId="2" applyNumberFormat="1" applyFont="1" applyFill="1"/>
    <xf numFmtId="0" fontId="3" fillId="0" borderId="0" xfId="2" applyFill="1"/>
    <xf numFmtId="166" fontId="4" fillId="0" borderId="0" xfId="2" applyNumberFormat="1" applyFont="1" applyFill="1"/>
    <xf numFmtId="165" fontId="4" fillId="0" borderId="0" xfId="2" applyNumberFormat="1" applyFont="1" applyFill="1" applyAlignment="1">
      <alignment horizontal="left"/>
    </xf>
    <xf numFmtId="10" fontId="5" fillId="0" borderId="1" xfId="2" applyNumberFormat="1" applyFont="1" applyFill="1" applyBorder="1" applyAlignment="1">
      <alignment horizontal="center"/>
    </xf>
    <xf numFmtId="10" fontId="5" fillId="0" borderId="2" xfId="2" applyNumberFormat="1" applyFont="1" applyFill="1" applyBorder="1" applyAlignment="1">
      <alignment horizontal="center"/>
    </xf>
    <xf numFmtId="10" fontId="5" fillId="0" borderId="3" xfId="2" applyNumberFormat="1" applyFont="1" applyFill="1" applyBorder="1" applyAlignment="1">
      <alignment horizontal="center"/>
    </xf>
    <xf numFmtId="0" fontId="4" fillId="0" borderId="0" xfId="2" applyFont="1" applyFill="1" applyAlignment="1">
      <alignment horizontal="center"/>
    </xf>
  </cellXfs>
  <cellStyles count="5">
    <cellStyle name="Comma 2" xfId="3" xr:uid="{23C6AAFA-F30A-45AB-A7C7-C74DAC877FD8}"/>
    <cellStyle name="Normal" xfId="0" builtinId="0"/>
    <cellStyle name="Normal 2" xfId="2" xr:uid="{E60C776F-502F-4821-AF63-94CDDEC8D89D}"/>
    <cellStyle name="Normal_WTH_998 garysmith" xfId="1" xr:uid="{BB0BB4AA-75C2-43B3-A9CD-9EDC3E2DE453}"/>
    <cellStyle name="Percent 2" xfId="4" xr:uid="{ACC42ECB-2E54-4CA7-AE69-8C37645D2F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D34E-E32F-4804-BA5E-AB1FD2ECF538}">
  <dimension ref="B1:J422"/>
  <sheetViews>
    <sheetView tabSelected="1" zoomScaleNormal="100" zoomScaleSheetLayoutView="100" workbookViewId="0"/>
  </sheetViews>
  <sheetFormatPr defaultColWidth="9.140625" defaultRowHeight="12.75" x14ac:dyDescent="0.2"/>
  <cols>
    <col min="1" max="1" width="7.5703125" style="2" customWidth="1"/>
    <col min="2" max="2" width="15.85546875" style="2" customWidth="1"/>
    <col min="3" max="3" width="16" style="10" customWidth="1"/>
    <col min="4" max="7" width="15.5703125" style="10" customWidth="1"/>
    <col min="8" max="8" width="14.140625" style="10" customWidth="1"/>
    <col min="9" max="9" width="13" style="10" customWidth="1"/>
    <col min="10" max="10" width="15.85546875" style="2" customWidth="1"/>
    <col min="11" max="11" width="14.5703125" style="2" bestFit="1" customWidth="1"/>
    <col min="12" max="16384" width="9.140625" style="2"/>
  </cols>
  <sheetData>
    <row r="1" spans="2:10" x14ac:dyDescent="0.2">
      <c r="B1" s="3"/>
      <c r="F1" s="11"/>
      <c r="G1" s="11"/>
      <c r="H1" s="11"/>
      <c r="I1" s="11"/>
      <c r="J1" s="4"/>
    </row>
    <row r="2" spans="2:10" x14ac:dyDescent="0.2">
      <c r="B2" s="5"/>
      <c r="F2" s="11"/>
      <c r="G2" s="11"/>
      <c r="H2" s="11"/>
      <c r="I2" s="11"/>
      <c r="J2" s="4"/>
    </row>
    <row r="3" spans="2:10" ht="18" x14ac:dyDescent="0.25">
      <c r="B3" s="3"/>
      <c r="C3" s="26" t="s">
        <v>21</v>
      </c>
      <c r="D3" s="27"/>
      <c r="E3" s="27"/>
      <c r="F3" s="27"/>
      <c r="G3" s="27"/>
      <c r="H3" s="27"/>
      <c r="I3" s="28"/>
    </row>
    <row r="6" spans="2:10" ht="26.25" thickBot="1" x14ac:dyDescent="0.25">
      <c r="D6" s="29" t="s">
        <v>0</v>
      </c>
      <c r="E6" s="29"/>
      <c r="F6" s="29" t="s">
        <v>23</v>
      </c>
      <c r="G6" s="29"/>
      <c r="H6" s="12" t="s">
        <v>1</v>
      </c>
      <c r="I6" s="12" t="s">
        <v>2</v>
      </c>
    </row>
    <row r="7" spans="2:10" ht="13.5" thickBot="1" x14ac:dyDescent="0.25">
      <c r="D7" s="13">
        <v>43922</v>
      </c>
      <c r="E7" s="14">
        <f>DATE(YEAR(D7),MONTH(D7)+1,0)</f>
        <v>43951</v>
      </c>
      <c r="F7" s="14">
        <f>DATE(YEAR(D7-1),MONTH(D7-1),16)</f>
        <v>43906</v>
      </c>
      <c r="G7" s="14">
        <f>DATE(YEAR(E7-1),MONTH(E7-1),15)</f>
        <v>43936</v>
      </c>
      <c r="H7" s="10" cm="1">
        <f t="array" ref="H7">SUMPRODUCT(-($C$35:$C$416&gt;=D7),-($C$35:$C$416&lt;=E7),($I$35:$I$416))</f>
        <v>216</v>
      </c>
      <c r="I7" s="10">
        <f t="shared" ref="I7:I18" si="0">SUMPRODUCT(-($C$35:$C$415&gt;=F7),-($C$35:$C$415&lt;=G7),($I$35:$I$415))</f>
        <v>344</v>
      </c>
    </row>
    <row r="8" spans="2:10" x14ac:dyDescent="0.2">
      <c r="D8" s="14">
        <f>E7+1</f>
        <v>43952</v>
      </c>
      <c r="E8" s="14">
        <f>DATE(YEAR(D8),MONTH(D8)+1,0)</f>
        <v>43982</v>
      </c>
      <c r="F8" s="14">
        <f>G7+1</f>
        <v>43937</v>
      </c>
      <c r="G8" s="14">
        <f t="shared" ref="G8:G18" si="1">DATE(YEAR(E8-1),MONTH(E8-1),15)</f>
        <v>43966</v>
      </c>
      <c r="H8" s="10" cm="1">
        <f t="array" ref="H8">SUMPRODUCT(-($C$35:$C$416&gt;=D8),-($C$35:$C$416&lt;=E8),($I$35:$I$416))</f>
        <v>65</v>
      </c>
      <c r="I8" s="10">
        <f t="shared" si="0"/>
        <v>138</v>
      </c>
    </row>
    <row r="9" spans="2:10" x14ac:dyDescent="0.2">
      <c r="D9" s="14">
        <f t="shared" ref="D9:D18" si="2">E8+1</f>
        <v>43983</v>
      </c>
      <c r="E9" s="14">
        <f t="shared" ref="E9:E18" si="3">DATE(YEAR(D9),MONTH(D9)+1,0)</f>
        <v>44012</v>
      </c>
      <c r="F9" s="14">
        <f t="shared" ref="F9:F18" si="4">G8+1</f>
        <v>43967</v>
      </c>
      <c r="G9" s="14">
        <f t="shared" si="1"/>
        <v>43997</v>
      </c>
      <c r="H9" s="10" cm="1">
        <f t="array" ref="H9">SUMPRODUCT(-($C$35:$C$416&gt;=D9),-($C$35:$C$416&lt;=E9),($I$35:$I$416))</f>
        <v>2</v>
      </c>
      <c r="I9" s="10">
        <f t="shared" si="0"/>
        <v>16</v>
      </c>
    </row>
    <row r="10" spans="2:10" x14ac:dyDescent="0.2">
      <c r="D10" s="14">
        <f t="shared" si="2"/>
        <v>44013</v>
      </c>
      <c r="E10" s="14">
        <f t="shared" si="3"/>
        <v>44043</v>
      </c>
      <c r="F10" s="14">
        <f t="shared" si="4"/>
        <v>43998</v>
      </c>
      <c r="G10" s="14">
        <f t="shared" si="1"/>
        <v>44027</v>
      </c>
      <c r="H10" s="10" cm="1">
        <f t="array" ref="H10">SUMPRODUCT(-($C$35:$C$416&gt;=D10),-($C$35:$C$416&lt;=E10),($I$35:$I$416))</f>
        <v>0</v>
      </c>
      <c r="I10" s="10">
        <f t="shared" si="0"/>
        <v>1</v>
      </c>
    </row>
    <row r="11" spans="2:10" x14ac:dyDescent="0.2">
      <c r="D11" s="14">
        <f t="shared" si="2"/>
        <v>44044</v>
      </c>
      <c r="E11" s="14">
        <f t="shared" si="3"/>
        <v>44074</v>
      </c>
      <c r="F11" s="14">
        <f t="shared" si="4"/>
        <v>44028</v>
      </c>
      <c r="G11" s="14">
        <f t="shared" si="1"/>
        <v>44058</v>
      </c>
      <c r="H11" s="10" cm="1">
        <f t="array" ref="H11">SUMPRODUCT(-($C$35:$C$416&gt;=D11),-($C$35:$C$416&lt;=E11),($I$35:$I$416))</f>
        <v>0</v>
      </c>
      <c r="I11" s="10">
        <f t="shared" si="0"/>
        <v>0</v>
      </c>
    </row>
    <row r="12" spans="2:10" x14ac:dyDescent="0.2">
      <c r="D12" s="14">
        <f t="shared" si="2"/>
        <v>44075</v>
      </c>
      <c r="E12" s="14">
        <f t="shared" si="3"/>
        <v>44104</v>
      </c>
      <c r="F12" s="14">
        <f t="shared" si="4"/>
        <v>44059</v>
      </c>
      <c r="G12" s="14">
        <f t="shared" si="1"/>
        <v>44089</v>
      </c>
      <c r="H12" s="10" cm="1">
        <f t="array" ref="H12">SUMPRODUCT(-($C$35:$C$416&gt;=D12),-($C$35:$C$416&lt;=E12),($I$35:$I$416))</f>
        <v>17</v>
      </c>
      <c r="I12" s="10">
        <f t="shared" si="0"/>
        <v>6</v>
      </c>
    </row>
    <row r="13" spans="2:10" x14ac:dyDescent="0.2">
      <c r="D13" s="14">
        <f t="shared" si="2"/>
        <v>44105</v>
      </c>
      <c r="E13" s="14">
        <f t="shared" si="3"/>
        <v>44135</v>
      </c>
      <c r="F13" s="14">
        <f t="shared" si="4"/>
        <v>44090</v>
      </c>
      <c r="G13" s="14">
        <f t="shared" si="1"/>
        <v>44119</v>
      </c>
      <c r="H13" s="10" cm="1">
        <f t="array" ref="H13">SUMPRODUCT(-($C$35:$C$416&gt;=D13),-($C$35:$C$416&lt;=E13),($I$35:$I$416))</f>
        <v>208</v>
      </c>
      <c r="I13" s="10">
        <f t="shared" si="0"/>
        <v>65</v>
      </c>
    </row>
    <row r="14" spans="2:10" x14ac:dyDescent="0.2">
      <c r="D14" s="14">
        <f t="shared" si="2"/>
        <v>44136</v>
      </c>
      <c r="E14" s="14">
        <f t="shared" si="3"/>
        <v>44165</v>
      </c>
      <c r="F14" s="14">
        <f t="shared" si="4"/>
        <v>44120</v>
      </c>
      <c r="G14" s="14">
        <f t="shared" si="1"/>
        <v>44150</v>
      </c>
      <c r="H14" s="10" cm="1">
        <f t="array" ref="H14">SUMPRODUCT(-($C$35:$C$416&gt;=D14),-($C$35:$C$416&lt;=E14),($I$35:$I$416))</f>
        <v>529</v>
      </c>
      <c r="I14" s="10">
        <f t="shared" si="0"/>
        <v>389</v>
      </c>
    </row>
    <row r="15" spans="2:10" x14ac:dyDescent="0.2">
      <c r="D15" s="14">
        <f t="shared" si="2"/>
        <v>44166</v>
      </c>
      <c r="E15" s="14">
        <f t="shared" si="3"/>
        <v>44196</v>
      </c>
      <c r="F15" s="14">
        <f t="shared" si="4"/>
        <v>44151</v>
      </c>
      <c r="G15" s="14">
        <f t="shared" si="1"/>
        <v>44180</v>
      </c>
      <c r="H15" s="10" cm="1">
        <f t="array" ref="H15">SUMPRODUCT(-($C$35:$C$416&gt;=D15),-($C$35:$C$416&lt;=E15),($I$35:$I$416))</f>
        <v>721</v>
      </c>
      <c r="I15" s="10">
        <f t="shared" si="0"/>
        <v>634</v>
      </c>
    </row>
    <row r="16" spans="2:10" x14ac:dyDescent="0.2">
      <c r="D16" s="14">
        <f t="shared" si="2"/>
        <v>44197</v>
      </c>
      <c r="E16" s="14">
        <f t="shared" si="3"/>
        <v>44227</v>
      </c>
      <c r="F16" s="14">
        <f t="shared" si="4"/>
        <v>44181</v>
      </c>
      <c r="G16" s="14">
        <f t="shared" si="1"/>
        <v>44211</v>
      </c>
      <c r="H16" s="10" cm="1">
        <f t="array" ref="H16">SUMPRODUCT(-($C$35:$C$416&gt;=D16),-($C$35:$C$416&lt;=E16),($I$35:$I$416))</f>
        <v>875</v>
      </c>
      <c r="I16" s="10">
        <f t="shared" si="0"/>
        <v>809</v>
      </c>
    </row>
    <row r="17" spans="3:9" x14ac:dyDescent="0.2">
      <c r="D17" s="14">
        <f t="shared" si="2"/>
        <v>44228</v>
      </c>
      <c r="E17" s="14">
        <f t="shared" si="3"/>
        <v>44255</v>
      </c>
      <c r="F17" s="14">
        <f t="shared" si="4"/>
        <v>44212</v>
      </c>
      <c r="G17" s="14">
        <f t="shared" si="1"/>
        <v>44242</v>
      </c>
      <c r="H17" s="10" cm="1">
        <f t="array" ref="H17">SUMPRODUCT(-($C$35:$C$416&gt;=D17),-($C$35:$C$416&lt;=E17),($I$35:$I$416))</f>
        <v>718</v>
      </c>
      <c r="I17" s="10">
        <f t="shared" si="0"/>
        <v>861</v>
      </c>
    </row>
    <row r="18" spans="3:9" x14ac:dyDescent="0.2">
      <c r="D18" s="14">
        <f t="shared" si="2"/>
        <v>44256</v>
      </c>
      <c r="E18" s="14">
        <f t="shared" si="3"/>
        <v>44286</v>
      </c>
      <c r="F18" s="14">
        <f t="shared" si="4"/>
        <v>44243</v>
      </c>
      <c r="G18" s="14">
        <f t="shared" si="1"/>
        <v>44270</v>
      </c>
      <c r="H18" s="15" cm="1">
        <f t="array" ref="H18">SUMPRODUCT(-($C$35:$C$416&gt;=D18),-($C$35:$C$416&lt;=E18),($I$35:$I$416))</f>
        <v>497</v>
      </c>
      <c r="I18" s="15">
        <f t="shared" si="0"/>
        <v>585</v>
      </c>
    </row>
    <row r="19" spans="3:9" x14ac:dyDescent="0.2">
      <c r="H19" s="6">
        <f>SUM(H7:H18)</f>
        <v>3848</v>
      </c>
      <c r="I19" s="6">
        <f>SUM(I7:I18)</f>
        <v>3848</v>
      </c>
    </row>
    <row r="20" spans="3:9" x14ac:dyDescent="0.2">
      <c r="D20" s="11"/>
      <c r="E20" s="7"/>
      <c r="F20" s="11"/>
      <c r="G20" s="7"/>
      <c r="H20" s="11"/>
    </row>
    <row r="21" spans="3:9" x14ac:dyDescent="0.2">
      <c r="D21" s="11"/>
      <c r="E21" s="11"/>
      <c r="F21" s="11"/>
      <c r="G21" s="11"/>
      <c r="H21" s="11"/>
    </row>
    <row r="22" spans="3:9" x14ac:dyDescent="0.2">
      <c r="D22" s="11"/>
      <c r="E22" s="11"/>
      <c r="F22" s="11"/>
      <c r="G22" s="11"/>
      <c r="H22" s="11"/>
    </row>
    <row r="23" spans="3:9" x14ac:dyDescent="0.2">
      <c r="C23" s="16" t="s">
        <v>3</v>
      </c>
      <c r="D23" s="16" t="s">
        <v>4</v>
      </c>
      <c r="E23" s="16" t="s">
        <v>5</v>
      </c>
      <c r="F23" s="16" t="s">
        <v>6</v>
      </c>
      <c r="G23" s="16" t="s">
        <v>7</v>
      </c>
      <c r="H23" s="16" t="s">
        <v>8</v>
      </c>
      <c r="I23" s="16" t="s">
        <v>9</v>
      </c>
    </row>
    <row r="24" spans="3:9" x14ac:dyDescent="0.2">
      <c r="C24" s="10" t="s">
        <v>10</v>
      </c>
      <c r="D24" s="6">
        <v>39219.583333333321</v>
      </c>
      <c r="E24" s="6">
        <v>36799.166666666664</v>
      </c>
      <c r="F24" s="6">
        <v>21396.083333333336</v>
      </c>
      <c r="G24" s="6">
        <v>7599.25</v>
      </c>
      <c r="H24" s="6">
        <v>54510.666666666657</v>
      </c>
      <c r="I24" s="6">
        <f>SUM(D24:H24)</f>
        <v>159524.74999999997</v>
      </c>
    </row>
    <row r="25" spans="3:9" x14ac:dyDescent="0.2">
      <c r="C25" s="10" t="s">
        <v>11</v>
      </c>
      <c r="D25" s="6">
        <v>3473.9999999999991</v>
      </c>
      <c r="E25" s="6">
        <v>4627.583333333333</v>
      </c>
      <c r="F25" s="6">
        <v>2741.75</v>
      </c>
      <c r="G25" s="6">
        <v>716.1</v>
      </c>
      <c r="H25" s="6">
        <v>6538.3333333333348</v>
      </c>
      <c r="I25" s="6">
        <f>SUM(D25:H25)</f>
        <v>18097.766666666666</v>
      </c>
    </row>
    <row r="26" spans="3:9" x14ac:dyDescent="0.2">
      <c r="C26" s="15" t="s">
        <v>12</v>
      </c>
      <c r="D26" s="8">
        <v>245.00000000000003</v>
      </c>
      <c r="E26" s="8">
        <v>372.5</v>
      </c>
      <c r="F26" s="8">
        <v>344.00757575757569</v>
      </c>
      <c r="G26" s="8">
        <v>42.083333333333329</v>
      </c>
      <c r="H26" s="8">
        <v>530.83333333333326</v>
      </c>
      <c r="I26" s="8">
        <f>SUM(D26:H26)</f>
        <v>1534.4242424242425</v>
      </c>
    </row>
    <row r="27" spans="3:9" x14ac:dyDescent="0.2">
      <c r="C27" s="10" t="s">
        <v>9</v>
      </c>
      <c r="D27" s="6">
        <f>SUM(D24:D26)</f>
        <v>42938.583333333321</v>
      </c>
      <c r="E27" s="6">
        <f>SUM(E24:E26)</f>
        <v>41799.25</v>
      </c>
      <c r="F27" s="6">
        <f>SUM(F24:F26)</f>
        <v>24481.840909090912</v>
      </c>
      <c r="G27" s="6">
        <f>SUM(G24:G26)</f>
        <v>8357.4333333333343</v>
      </c>
      <c r="H27" s="6">
        <f>SUM(H24:H26)</f>
        <v>61579.833333333328</v>
      </c>
      <c r="I27" s="6">
        <f>SUM(D27:H27)</f>
        <v>179156.94090909089</v>
      </c>
    </row>
    <row r="29" spans="3:9" x14ac:dyDescent="0.2">
      <c r="C29" s="17" t="s">
        <v>13</v>
      </c>
      <c r="D29" s="18">
        <f>D27/$I$27</f>
        <v>0.23967021939228986</v>
      </c>
      <c r="E29" s="18">
        <f>E27/$I$27</f>
        <v>0.2333108044148291</v>
      </c>
      <c r="F29" s="18">
        <f>F27/$I$27</f>
        <v>0.13665025080727219</v>
      </c>
      <c r="G29" s="18">
        <f>G27/$I$27</f>
        <v>4.6648671778639732E-2</v>
      </c>
      <c r="H29" s="18">
        <f>H27/$I$27</f>
        <v>0.34372005360696917</v>
      </c>
    </row>
    <row r="30" spans="3:9" x14ac:dyDescent="0.2">
      <c r="D30" s="11"/>
      <c r="E30" s="11"/>
      <c r="F30" s="11"/>
      <c r="G30" s="11"/>
      <c r="H30" s="11"/>
    </row>
    <row r="31" spans="3:9" x14ac:dyDescent="0.2">
      <c r="D31" s="11"/>
      <c r="E31" s="11"/>
      <c r="F31" s="11"/>
      <c r="G31" s="11"/>
      <c r="H31" s="11"/>
    </row>
    <row r="33" spans="3:9" ht="51" x14ac:dyDescent="0.2">
      <c r="C33" s="19" t="s">
        <v>14</v>
      </c>
      <c r="D33" s="20" t="s">
        <v>15</v>
      </c>
      <c r="E33" s="20" t="s">
        <v>16</v>
      </c>
      <c r="F33" s="20" t="s">
        <v>17</v>
      </c>
      <c r="G33" s="20" t="s">
        <v>18</v>
      </c>
      <c r="H33" s="20" t="s">
        <v>19</v>
      </c>
      <c r="I33" s="15" t="s">
        <v>20</v>
      </c>
    </row>
    <row r="34" spans="3:9" x14ac:dyDescent="0.2">
      <c r="D34" s="12"/>
      <c r="E34" s="12"/>
      <c r="F34" s="12"/>
      <c r="G34" s="12"/>
      <c r="H34" s="12"/>
    </row>
    <row r="35" spans="3:9" x14ac:dyDescent="0.2">
      <c r="C35" s="14">
        <f>F7</f>
        <v>43906</v>
      </c>
      <c r="D35" s="21">
        <v>16.399999999999999</v>
      </c>
      <c r="E35" s="21">
        <v>11.4</v>
      </c>
      <c r="F35" s="21">
        <v>17.3</v>
      </c>
      <c r="G35" s="21">
        <v>13.9</v>
      </c>
      <c r="H35" s="21">
        <v>15</v>
      </c>
      <c r="I35" s="22">
        <f t="shared" ref="I35:I98" si="5">IFERROR(ROUND((D35*D$29)+(E35*E$29)+(F35*F$29)+(G35*G$29)+(H35*H$29),0),0)</f>
        <v>15</v>
      </c>
    </row>
    <row r="36" spans="3:9" x14ac:dyDescent="0.2">
      <c r="C36" s="14">
        <f>C35+1</f>
        <v>43907</v>
      </c>
      <c r="D36" s="21">
        <v>15.6</v>
      </c>
      <c r="E36" s="21">
        <v>9.6</v>
      </c>
      <c r="F36" s="21">
        <v>17</v>
      </c>
      <c r="G36" s="21">
        <v>14.1</v>
      </c>
      <c r="H36" s="21">
        <v>12.5</v>
      </c>
      <c r="I36" s="22">
        <f t="shared" si="5"/>
        <v>13</v>
      </c>
    </row>
    <row r="37" spans="3:9" x14ac:dyDescent="0.2">
      <c r="C37" s="14">
        <f t="shared" ref="C37:C100" si="6">C36+1</f>
        <v>43908</v>
      </c>
      <c r="D37" s="21">
        <v>17.100000000000001</v>
      </c>
      <c r="E37" s="21">
        <v>10.3</v>
      </c>
      <c r="F37" s="21">
        <v>16.100000000000001</v>
      </c>
      <c r="G37" s="21">
        <v>14.4</v>
      </c>
      <c r="H37" s="21">
        <v>14.2</v>
      </c>
      <c r="I37" s="22">
        <f t="shared" si="5"/>
        <v>14</v>
      </c>
    </row>
    <row r="38" spans="3:9" x14ac:dyDescent="0.2">
      <c r="C38" s="14">
        <f t="shared" si="6"/>
        <v>43909</v>
      </c>
      <c r="D38" s="21">
        <v>16</v>
      </c>
      <c r="E38" s="21">
        <v>10.5</v>
      </c>
      <c r="F38" s="21">
        <v>15.8</v>
      </c>
      <c r="G38" s="21">
        <v>14</v>
      </c>
      <c r="H38" s="21">
        <v>14.1</v>
      </c>
      <c r="I38" s="22">
        <f t="shared" si="5"/>
        <v>14</v>
      </c>
    </row>
    <row r="39" spans="3:9" x14ac:dyDescent="0.2">
      <c r="C39" s="14">
        <f t="shared" si="6"/>
        <v>43910</v>
      </c>
      <c r="D39" s="21">
        <v>15.2</v>
      </c>
      <c r="E39" s="21">
        <v>11.5</v>
      </c>
      <c r="F39" s="21">
        <v>16.7</v>
      </c>
      <c r="G39" s="21">
        <v>13.8</v>
      </c>
      <c r="H39" s="21">
        <v>14.2</v>
      </c>
      <c r="I39" s="22">
        <f t="shared" si="5"/>
        <v>14</v>
      </c>
    </row>
    <row r="40" spans="3:9" x14ac:dyDescent="0.2">
      <c r="C40" s="14">
        <f t="shared" si="6"/>
        <v>43911</v>
      </c>
      <c r="D40" s="21">
        <v>16</v>
      </c>
      <c r="E40" s="21">
        <v>12.6</v>
      </c>
      <c r="F40" s="21">
        <v>17.5</v>
      </c>
      <c r="G40" s="21">
        <v>15.4</v>
      </c>
      <c r="H40" s="21">
        <v>14.8</v>
      </c>
      <c r="I40" s="22">
        <f t="shared" si="5"/>
        <v>15</v>
      </c>
    </row>
    <row r="41" spans="3:9" x14ac:dyDescent="0.2">
      <c r="C41" s="14">
        <f t="shared" si="6"/>
        <v>43912</v>
      </c>
      <c r="D41" s="21">
        <v>16.100000000000001</v>
      </c>
      <c r="E41" s="21">
        <v>11.7</v>
      </c>
      <c r="F41" s="21">
        <v>17.8</v>
      </c>
      <c r="G41" s="21">
        <v>15.3</v>
      </c>
      <c r="H41" s="21">
        <v>13.5</v>
      </c>
      <c r="I41" s="22">
        <f t="shared" si="5"/>
        <v>14</v>
      </c>
    </row>
    <row r="42" spans="3:9" x14ac:dyDescent="0.2">
      <c r="C42" s="14">
        <f t="shared" si="6"/>
        <v>43913</v>
      </c>
      <c r="D42" s="21">
        <v>14.7</v>
      </c>
      <c r="E42" s="21">
        <v>9.1999999999999993</v>
      </c>
      <c r="F42" s="21">
        <v>15.9</v>
      </c>
      <c r="G42" s="21">
        <v>12.6</v>
      </c>
      <c r="H42" s="21">
        <v>11.7</v>
      </c>
      <c r="I42" s="22">
        <f t="shared" si="5"/>
        <v>12</v>
      </c>
    </row>
    <row r="43" spans="3:9" x14ac:dyDescent="0.2">
      <c r="C43" s="14">
        <f t="shared" si="6"/>
        <v>43914</v>
      </c>
      <c r="D43" s="21">
        <v>17.600000000000001</v>
      </c>
      <c r="E43" s="21">
        <v>10.9</v>
      </c>
      <c r="F43" s="21">
        <v>17.600000000000001</v>
      </c>
      <c r="G43" s="21">
        <v>15.4</v>
      </c>
      <c r="H43" s="21">
        <v>13.6</v>
      </c>
      <c r="I43" s="22">
        <f t="shared" si="5"/>
        <v>15</v>
      </c>
    </row>
    <row r="44" spans="3:9" x14ac:dyDescent="0.2">
      <c r="C44" s="14">
        <f t="shared" si="6"/>
        <v>43915</v>
      </c>
      <c r="D44" s="21">
        <v>17.3</v>
      </c>
      <c r="E44" s="21">
        <v>14.2</v>
      </c>
      <c r="F44" s="21">
        <v>18.600000000000001</v>
      </c>
      <c r="G44" s="21">
        <v>16.100000000000001</v>
      </c>
      <c r="H44" s="21">
        <v>15.3</v>
      </c>
      <c r="I44" s="22">
        <f t="shared" si="5"/>
        <v>16</v>
      </c>
    </row>
    <row r="45" spans="3:9" x14ac:dyDescent="0.2">
      <c r="C45" s="14">
        <f t="shared" si="6"/>
        <v>43916</v>
      </c>
      <c r="D45" s="21">
        <v>17.7</v>
      </c>
      <c r="E45" s="21">
        <v>12.8</v>
      </c>
      <c r="F45" s="21">
        <v>18.2</v>
      </c>
      <c r="G45" s="21">
        <v>15.4</v>
      </c>
      <c r="H45" s="21">
        <v>16.7</v>
      </c>
      <c r="I45" s="22">
        <f t="shared" si="5"/>
        <v>16</v>
      </c>
    </row>
    <row r="46" spans="3:9" x14ac:dyDescent="0.2">
      <c r="C46" s="14">
        <f t="shared" si="6"/>
        <v>43917</v>
      </c>
      <c r="D46" s="21">
        <v>14.2</v>
      </c>
      <c r="E46" s="21">
        <v>10.5</v>
      </c>
      <c r="F46" s="21">
        <v>14.8</v>
      </c>
      <c r="G46" s="21">
        <v>13.1</v>
      </c>
      <c r="H46" s="21">
        <v>12.3</v>
      </c>
      <c r="I46" s="22">
        <f t="shared" si="5"/>
        <v>13</v>
      </c>
    </row>
    <row r="47" spans="3:9" x14ac:dyDescent="0.2">
      <c r="C47" s="14">
        <f t="shared" si="6"/>
        <v>43918</v>
      </c>
      <c r="D47" s="21">
        <v>12.9</v>
      </c>
      <c r="E47" s="21">
        <v>8.1</v>
      </c>
      <c r="F47" s="21">
        <v>13</v>
      </c>
      <c r="G47" s="21">
        <v>10.7</v>
      </c>
      <c r="H47" s="21">
        <v>10.5</v>
      </c>
      <c r="I47" s="22">
        <f t="shared" si="5"/>
        <v>11</v>
      </c>
    </row>
    <row r="48" spans="3:9" x14ac:dyDescent="0.2">
      <c r="C48" s="14">
        <f t="shared" si="6"/>
        <v>43919</v>
      </c>
      <c r="D48" s="21">
        <v>12.2</v>
      </c>
      <c r="E48" s="21">
        <v>8.9</v>
      </c>
      <c r="F48" s="21">
        <v>14.6</v>
      </c>
      <c r="G48" s="21">
        <v>11</v>
      </c>
      <c r="H48" s="21">
        <v>11.3</v>
      </c>
      <c r="I48" s="22">
        <f t="shared" si="5"/>
        <v>11</v>
      </c>
    </row>
    <row r="49" spans="3:9" x14ac:dyDescent="0.2">
      <c r="C49" s="14">
        <f t="shared" si="6"/>
        <v>43920</v>
      </c>
      <c r="D49" s="21">
        <v>12</v>
      </c>
      <c r="E49" s="21">
        <v>9.1999999999999993</v>
      </c>
      <c r="F49" s="21">
        <v>12.5</v>
      </c>
      <c r="G49" s="21">
        <v>10.6</v>
      </c>
      <c r="H49" s="21">
        <v>11.4</v>
      </c>
      <c r="I49" s="22">
        <f t="shared" si="5"/>
        <v>11</v>
      </c>
    </row>
    <row r="50" spans="3:9" x14ac:dyDescent="0.2">
      <c r="C50" s="14">
        <f t="shared" si="6"/>
        <v>43921</v>
      </c>
      <c r="D50" s="21">
        <v>13</v>
      </c>
      <c r="E50" s="21">
        <v>10.4</v>
      </c>
      <c r="F50" s="21">
        <v>15.4</v>
      </c>
      <c r="G50" s="21">
        <v>11.5</v>
      </c>
      <c r="H50" s="21">
        <v>9.6999999999999993</v>
      </c>
      <c r="I50" s="22">
        <f t="shared" si="5"/>
        <v>12</v>
      </c>
    </row>
    <row r="51" spans="3:9" x14ac:dyDescent="0.2">
      <c r="C51" s="14">
        <f t="shared" si="6"/>
        <v>43922</v>
      </c>
      <c r="D51" s="21">
        <v>15</v>
      </c>
      <c r="E51" s="21">
        <v>8.9</v>
      </c>
      <c r="F51" s="21">
        <v>16.5</v>
      </c>
      <c r="G51" s="21">
        <v>12.9</v>
      </c>
      <c r="H51" s="21">
        <v>12.1</v>
      </c>
      <c r="I51" s="22">
        <f t="shared" si="5"/>
        <v>13</v>
      </c>
    </row>
    <row r="52" spans="3:9" x14ac:dyDescent="0.2">
      <c r="C52" s="14">
        <f t="shared" si="6"/>
        <v>43923</v>
      </c>
      <c r="D52" s="21">
        <v>12.5</v>
      </c>
      <c r="E52" s="21">
        <v>7.6</v>
      </c>
      <c r="F52" s="21">
        <v>13.7</v>
      </c>
      <c r="G52" s="21">
        <v>11.1</v>
      </c>
      <c r="H52" s="21">
        <v>10.1</v>
      </c>
      <c r="I52" s="22">
        <f t="shared" si="5"/>
        <v>11</v>
      </c>
    </row>
    <row r="53" spans="3:9" x14ac:dyDescent="0.2">
      <c r="C53" s="14">
        <f t="shared" si="6"/>
        <v>43924</v>
      </c>
      <c r="D53" s="21">
        <v>8.6</v>
      </c>
      <c r="E53" s="21">
        <v>5.2</v>
      </c>
      <c r="F53" s="21">
        <v>8.8000000000000007</v>
      </c>
      <c r="G53" s="21">
        <v>6.2</v>
      </c>
      <c r="H53" s="21">
        <v>6.2</v>
      </c>
      <c r="I53" s="22">
        <f t="shared" si="5"/>
        <v>7</v>
      </c>
    </row>
    <row r="54" spans="3:9" x14ac:dyDescent="0.2">
      <c r="C54" s="14">
        <f t="shared" si="6"/>
        <v>43925</v>
      </c>
      <c r="D54" s="21">
        <v>11.1</v>
      </c>
      <c r="E54" s="21">
        <v>7.4</v>
      </c>
      <c r="F54" s="21">
        <v>10.3</v>
      </c>
      <c r="G54" s="21">
        <v>8.3000000000000007</v>
      </c>
      <c r="H54" s="21">
        <v>9.6</v>
      </c>
      <c r="I54" s="22">
        <f t="shared" si="5"/>
        <v>9</v>
      </c>
    </row>
    <row r="55" spans="3:9" x14ac:dyDescent="0.2">
      <c r="C55" s="14">
        <f t="shared" si="6"/>
        <v>43926</v>
      </c>
      <c r="D55" s="21">
        <v>13.8</v>
      </c>
      <c r="E55" s="21">
        <v>9.4</v>
      </c>
      <c r="F55" s="21">
        <v>14.7</v>
      </c>
      <c r="G55" s="21">
        <v>12.9</v>
      </c>
      <c r="H55" s="21">
        <v>12.7</v>
      </c>
      <c r="I55" s="22">
        <f t="shared" si="5"/>
        <v>12</v>
      </c>
    </row>
    <row r="56" spans="3:9" x14ac:dyDescent="0.2">
      <c r="C56" s="14">
        <f t="shared" si="6"/>
        <v>43927</v>
      </c>
      <c r="D56" s="21">
        <v>10.3</v>
      </c>
      <c r="E56" s="21">
        <v>8.3000000000000007</v>
      </c>
      <c r="F56" s="21">
        <v>11.3</v>
      </c>
      <c r="G56" s="21">
        <v>8.3000000000000007</v>
      </c>
      <c r="H56" s="21">
        <v>8.4</v>
      </c>
      <c r="I56" s="22">
        <f t="shared" si="5"/>
        <v>9</v>
      </c>
    </row>
    <row r="57" spans="3:9" x14ac:dyDescent="0.2">
      <c r="C57" s="14">
        <f t="shared" si="6"/>
        <v>43928</v>
      </c>
      <c r="D57" s="21">
        <v>9.6999999999999993</v>
      </c>
      <c r="E57" s="21">
        <v>6.3</v>
      </c>
      <c r="F57" s="21">
        <v>9.9</v>
      </c>
      <c r="G57" s="21">
        <v>8.5</v>
      </c>
      <c r="H57" s="21">
        <v>8</v>
      </c>
      <c r="I57" s="22">
        <f t="shared" si="5"/>
        <v>8</v>
      </c>
    </row>
    <row r="58" spans="3:9" x14ac:dyDescent="0.2">
      <c r="C58" s="14">
        <f t="shared" si="6"/>
        <v>43929</v>
      </c>
      <c r="D58" s="21">
        <v>8.4</v>
      </c>
      <c r="E58" s="21">
        <v>6.9</v>
      </c>
      <c r="F58" s="21">
        <v>9.5</v>
      </c>
      <c r="G58" s="21">
        <v>7.5</v>
      </c>
      <c r="H58" s="21">
        <v>7.8</v>
      </c>
      <c r="I58" s="22">
        <f t="shared" si="5"/>
        <v>8</v>
      </c>
    </row>
    <row r="59" spans="3:9" x14ac:dyDescent="0.2">
      <c r="C59" s="14">
        <f t="shared" si="6"/>
        <v>43930</v>
      </c>
      <c r="D59" s="21">
        <v>8.6</v>
      </c>
      <c r="E59" s="21">
        <v>5.4</v>
      </c>
      <c r="F59" s="21">
        <v>9.5</v>
      </c>
      <c r="G59" s="21">
        <v>7.8</v>
      </c>
      <c r="H59" s="21">
        <v>7.3</v>
      </c>
      <c r="I59" s="22">
        <f t="shared" si="5"/>
        <v>7</v>
      </c>
    </row>
    <row r="60" spans="3:9" x14ac:dyDescent="0.2">
      <c r="C60" s="14">
        <f t="shared" si="6"/>
        <v>43931</v>
      </c>
      <c r="D60" s="21">
        <v>8.3000000000000007</v>
      </c>
      <c r="E60" s="21">
        <v>5.8</v>
      </c>
      <c r="F60" s="21">
        <v>9.9</v>
      </c>
      <c r="G60" s="21">
        <v>7.3</v>
      </c>
      <c r="H60" s="21">
        <v>6.7</v>
      </c>
      <c r="I60" s="22">
        <f t="shared" si="5"/>
        <v>7</v>
      </c>
    </row>
    <row r="61" spans="3:9" x14ac:dyDescent="0.2">
      <c r="C61" s="14">
        <f t="shared" si="6"/>
        <v>43932</v>
      </c>
      <c r="D61" s="21">
        <v>8.8000000000000007</v>
      </c>
      <c r="E61" s="21">
        <v>5.5</v>
      </c>
      <c r="F61" s="21">
        <v>8.3000000000000007</v>
      </c>
      <c r="G61" s="21">
        <v>6.1</v>
      </c>
      <c r="H61" s="21">
        <v>7.6</v>
      </c>
      <c r="I61" s="22">
        <f t="shared" si="5"/>
        <v>7</v>
      </c>
    </row>
    <row r="62" spans="3:9" x14ac:dyDescent="0.2">
      <c r="C62" s="14">
        <f t="shared" si="6"/>
        <v>43933</v>
      </c>
      <c r="D62" s="21">
        <v>8.6999999999999993</v>
      </c>
      <c r="E62" s="21">
        <v>4.7</v>
      </c>
      <c r="F62" s="21">
        <v>8.8000000000000007</v>
      </c>
      <c r="G62" s="21">
        <v>6.8</v>
      </c>
      <c r="H62" s="21">
        <v>7.8</v>
      </c>
      <c r="I62" s="22">
        <f t="shared" si="5"/>
        <v>7</v>
      </c>
    </row>
    <row r="63" spans="3:9" x14ac:dyDescent="0.2">
      <c r="C63" s="14">
        <f t="shared" si="6"/>
        <v>43934</v>
      </c>
      <c r="D63" s="21">
        <v>7.9</v>
      </c>
      <c r="E63" s="21">
        <v>5.2</v>
      </c>
      <c r="F63" s="21">
        <v>8.6999999999999993</v>
      </c>
      <c r="G63" s="21">
        <v>6.4</v>
      </c>
      <c r="H63" s="21">
        <v>7.3</v>
      </c>
      <c r="I63" s="22">
        <f t="shared" si="5"/>
        <v>7</v>
      </c>
    </row>
    <row r="64" spans="3:9" x14ac:dyDescent="0.2">
      <c r="C64" s="14">
        <f t="shared" si="6"/>
        <v>43935</v>
      </c>
      <c r="D64" s="21">
        <v>7.9</v>
      </c>
      <c r="E64" s="21">
        <v>4.0999999999999996</v>
      </c>
      <c r="F64" s="21">
        <v>7.3</v>
      </c>
      <c r="G64" s="21">
        <v>5.4</v>
      </c>
      <c r="H64" s="21">
        <v>7.7</v>
      </c>
      <c r="I64" s="22">
        <f t="shared" si="5"/>
        <v>7</v>
      </c>
    </row>
    <row r="65" spans="3:9" x14ac:dyDescent="0.2">
      <c r="C65" s="14">
        <f t="shared" si="6"/>
        <v>43936</v>
      </c>
      <c r="D65" s="21">
        <v>9.5</v>
      </c>
      <c r="E65" s="21">
        <v>7.4</v>
      </c>
      <c r="F65" s="21">
        <v>10.3</v>
      </c>
      <c r="G65" s="21">
        <v>8.1999999999999993</v>
      </c>
      <c r="H65" s="21">
        <v>8.1999999999999993</v>
      </c>
      <c r="I65" s="22">
        <f t="shared" si="5"/>
        <v>9</v>
      </c>
    </row>
    <row r="66" spans="3:9" x14ac:dyDescent="0.2">
      <c r="C66" s="14">
        <f t="shared" si="6"/>
        <v>43937</v>
      </c>
      <c r="D66" s="21">
        <v>10.1</v>
      </c>
      <c r="E66" s="21">
        <v>8</v>
      </c>
      <c r="F66" s="21">
        <v>10.7</v>
      </c>
      <c r="G66" s="21">
        <v>8.6999999999999993</v>
      </c>
      <c r="H66" s="21">
        <v>8.1999999999999993</v>
      </c>
      <c r="I66" s="22">
        <f t="shared" si="5"/>
        <v>9</v>
      </c>
    </row>
    <row r="67" spans="3:9" x14ac:dyDescent="0.2">
      <c r="C67" s="14">
        <f t="shared" si="6"/>
        <v>43938</v>
      </c>
      <c r="D67" s="21">
        <v>6.8</v>
      </c>
      <c r="E67" s="21">
        <v>4.2</v>
      </c>
      <c r="F67" s="21">
        <v>7.1</v>
      </c>
      <c r="G67" s="21">
        <v>5.5</v>
      </c>
      <c r="H67" s="21">
        <v>5.3</v>
      </c>
      <c r="I67" s="22">
        <f t="shared" si="5"/>
        <v>6</v>
      </c>
    </row>
    <row r="68" spans="3:9" x14ac:dyDescent="0.2">
      <c r="C68" s="14">
        <f t="shared" si="6"/>
        <v>43939</v>
      </c>
      <c r="D68" s="21">
        <v>4.8</v>
      </c>
      <c r="E68" s="21">
        <v>2.4</v>
      </c>
      <c r="F68" s="21">
        <v>4.4000000000000004</v>
      </c>
      <c r="G68" s="21">
        <v>3.1</v>
      </c>
      <c r="H68" s="21">
        <v>4.0999999999999996</v>
      </c>
      <c r="I68" s="22">
        <f t="shared" si="5"/>
        <v>4</v>
      </c>
    </row>
    <row r="69" spans="3:9" x14ac:dyDescent="0.2">
      <c r="C69" s="14">
        <f t="shared" si="6"/>
        <v>43940</v>
      </c>
      <c r="D69" s="21">
        <v>8</v>
      </c>
      <c r="E69" s="21">
        <v>6.1</v>
      </c>
      <c r="F69" s="21">
        <v>7.1</v>
      </c>
      <c r="G69" s="21">
        <v>5.9</v>
      </c>
      <c r="H69" s="21">
        <v>7.9</v>
      </c>
      <c r="I69" s="22">
        <f t="shared" si="5"/>
        <v>7</v>
      </c>
    </row>
    <row r="70" spans="3:9" x14ac:dyDescent="0.2">
      <c r="C70" s="14">
        <f t="shared" si="6"/>
        <v>43941</v>
      </c>
      <c r="D70" s="21">
        <v>8.6</v>
      </c>
      <c r="E70" s="21">
        <v>6.5</v>
      </c>
      <c r="F70" s="21">
        <v>8.9</v>
      </c>
      <c r="G70" s="21">
        <v>7.7</v>
      </c>
      <c r="H70" s="21">
        <v>7.6</v>
      </c>
      <c r="I70" s="22">
        <f t="shared" si="5"/>
        <v>8</v>
      </c>
    </row>
    <row r="71" spans="3:9" x14ac:dyDescent="0.2">
      <c r="C71" s="14">
        <f t="shared" si="6"/>
        <v>43942</v>
      </c>
      <c r="D71" s="21">
        <v>9.6</v>
      </c>
      <c r="E71" s="21">
        <v>6.3</v>
      </c>
      <c r="F71" s="21">
        <v>9.6</v>
      </c>
      <c r="G71" s="21">
        <v>7.5</v>
      </c>
      <c r="H71" s="21">
        <v>7.7</v>
      </c>
      <c r="I71" s="22">
        <f t="shared" si="5"/>
        <v>8</v>
      </c>
    </row>
    <row r="72" spans="3:9" x14ac:dyDescent="0.2">
      <c r="C72" s="14">
        <f t="shared" si="6"/>
        <v>43943</v>
      </c>
      <c r="D72" s="21">
        <v>7.6</v>
      </c>
      <c r="E72" s="21">
        <v>4.9000000000000004</v>
      </c>
      <c r="F72" s="21">
        <v>9.8000000000000007</v>
      </c>
      <c r="G72" s="21">
        <v>6.2</v>
      </c>
      <c r="H72" s="21">
        <v>7.4</v>
      </c>
      <c r="I72" s="22">
        <f t="shared" si="5"/>
        <v>7</v>
      </c>
    </row>
    <row r="73" spans="3:9" x14ac:dyDescent="0.2">
      <c r="C73" s="14">
        <f t="shared" si="6"/>
        <v>43944</v>
      </c>
      <c r="D73" s="21">
        <v>7</v>
      </c>
      <c r="E73" s="21">
        <v>4.8</v>
      </c>
      <c r="F73" s="21">
        <v>9.4</v>
      </c>
      <c r="G73" s="21">
        <v>6.5</v>
      </c>
      <c r="H73" s="21">
        <v>6.4</v>
      </c>
      <c r="I73" s="22">
        <f t="shared" si="5"/>
        <v>7</v>
      </c>
    </row>
    <row r="74" spans="3:9" x14ac:dyDescent="0.2">
      <c r="C74" s="14">
        <f t="shared" si="6"/>
        <v>43945</v>
      </c>
      <c r="D74" s="21">
        <v>6.5</v>
      </c>
      <c r="E74" s="21">
        <v>3.7</v>
      </c>
      <c r="F74" s="21">
        <v>8</v>
      </c>
      <c r="G74" s="21">
        <v>4.5999999999999996</v>
      </c>
      <c r="H74" s="21">
        <v>5.5</v>
      </c>
      <c r="I74" s="22">
        <f t="shared" si="5"/>
        <v>6</v>
      </c>
    </row>
    <row r="75" spans="3:9" x14ac:dyDescent="0.2">
      <c r="C75" s="14">
        <f t="shared" si="6"/>
        <v>43946</v>
      </c>
      <c r="D75" s="21">
        <v>3.6</v>
      </c>
      <c r="E75" s="21">
        <v>2.2999999999999998</v>
      </c>
      <c r="F75" s="21">
        <v>5.7</v>
      </c>
      <c r="G75" s="21">
        <v>3.6</v>
      </c>
      <c r="H75" s="21">
        <v>2.8</v>
      </c>
      <c r="I75" s="22">
        <f t="shared" si="5"/>
        <v>3</v>
      </c>
    </row>
    <row r="76" spans="3:9" x14ac:dyDescent="0.2">
      <c r="C76" s="14">
        <f t="shared" si="6"/>
        <v>43947</v>
      </c>
      <c r="D76" s="21">
        <v>5.4</v>
      </c>
      <c r="E76" s="21">
        <v>5.2</v>
      </c>
      <c r="F76" s="21">
        <v>6.3</v>
      </c>
      <c r="G76" s="21">
        <v>3.9</v>
      </c>
      <c r="H76" s="21">
        <v>4.5</v>
      </c>
      <c r="I76" s="22">
        <f t="shared" si="5"/>
        <v>5</v>
      </c>
    </row>
    <row r="77" spans="3:9" x14ac:dyDescent="0.2">
      <c r="C77" s="14">
        <f t="shared" si="6"/>
        <v>43948</v>
      </c>
      <c r="D77" s="21">
        <v>7.6</v>
      </c>
      <c r="E77" s="21">
        <v>4.3</v>
      </c>
      <c r="F77" s="21">
        <v>7.7</v>
      </c>
      <c r="G77" s="21">
        <v>5.2</v>
      </c>
      <c r="H77" s="21">
        <v>6.2</v>
      </c>
      <c r="I77" s="22">
        <f t="shared" si="5"/>
        <v>6</v>
      </c>
    </row>
    <row r="78" spans="3:9" x14ac:dyDescent="0.2">
      <c r="C78" s="14">
        <f t="shared" si="6"/>
        <v>43949</v>
      </c>
      <c r="D78" s="21">
        <v>5.3</v>
      </c>
      <c r="E78" s="21">
        <v>2.5</v>
      </c>
      <c r="F78" s="21">
        <v>5.9</v>
      </c>
      <c r="G78" s="21">
        <v>3.5</v>
      </c>
      <c r="H78" s="21">
        <v>4.3</v>
      </c>
      <c r="I78" s="22">
        <f t="shared" si="5"/>
        <v>4</v>
      </c>
    </row>
    <row r="79" spans="3:9" x14ac:dyDescent="0.2">
      <c r="C79" s="14">
        <f t="shared" si="6"/>
        <v>43950</v>
      </c>
      <c r="D79" s="21">
        <v>4.4000000000000004</v>
      </c>
      <c r="E79" s="21">
        <v>2.1</v>
      </c>
      <c r="F79" s="21">
        <v>6</v>
      </c>
      <c r="G79" s="21">
        <v>3.2</v>
      </c>
      <c r="H79" s="21">
        <v>4.0999999999999996</v>
      </c>
      <c r="I79" s="22">
        <f t="shared" si="5"/>
        <v>4</v>
      </c>
    </row>
    <row r="80" spans="3:9" x14ac:dyDescent="0.2">
      <c r="C80" s="14">
        <f t="shared" si="6"/>
        <v>43951</v>
      </c>
      <c r="D80" s="21">
        <v>4</v>
      </c>
      <c r="E80" s="21">
        <v>1.9</v>
      </c>
      <c r="F80" s="21">
        <v>5.2</v>
      </c>
      <c r="G80" s="21">
        <v>3.3</v>
      </c>
      <c r="H80" s="21">
        <v>3.6</v>
      </c>
      <c r="I80" s="22">
        <f t="shared" si="5"/>
        <v>4</v>
      </c>
    </row>
    <row r="81" spans="3:9" x14ac:dyDescent="0.2">
      <c r="C81" s="14">
        <f t="shared" si="6"/>
        <v>43952</v>
      </c>
      <c r="D81" s="21">
        <v>4.0999999999999996</v>
      </c>
      <c r="E81" s="21">
        <v>2.2000000000000002</v>
      </c>
      <c r="F81" s="21">
        <v>3.7</v>
      </c>
      <c r="G81" s="21">
        <v>2.5</v>
      </c>
      <c r="H81" s="21">
        <v>3.8</v>
      </c>
      <c r="I81" s="22">
        <f t="shared" si="5"/>
        <v>3</v>
      </c>
    </row>
    <row r="82" spans="3:9" x14ac:dyDescent="0.2">
      <c r="C82" s="14">
        <f t="shared" si="6"/>
        <v>43953</v>
      </c>
      <c r="D82" s="21">
        <v>4.3</v>
      </c>
      <c r="E82" s="21">
        <v>1.4</v>
      </c>
      <c r="F82" s="21">
        <v>2.8</v>
      </c>
      <c r="G82" s="21">
        <v>2.2000000000000002</v>
      </c>
      <c r="H82" s="21">
        <v>3.7</v>
      </c>
      <c r="I82" s="22">
        <f t="shared" si="5"/>
        <v>3</v>
      </c>
    </row>
    <row r="83" spans="3:9" x14ac:dyDescent="0.2">
      <c r="C83" s="14">
        <f t="shared" si="6"/>
        <v>43954</v>
      </c>
      <c r="D83" s="21">
        <v>3.7</v>
      </c>
      <c r="E83" s="21">
        <v>2.4</v>
      </c>
      <c r="F83" s="21">
        <v>4.7</v>
      </c>
      <c r="G83" s="21">
        <v>2.8</v>
      </c>
      <c r="H83" s="21">
        <v>3.1</v>
      </c>
      <c r="I83" s="22">
        <f t="shared" si="5"/>
        <v>3</v>
      </c>
    </row>
    <row r="84" spans="3:9" x14ac:dyDescent="0.2">
      <c r="C84" s="14">
        <f t="shared" si="6"/>
        <v>43955</v>
      </c>
      <c r="D84" s="21">
        <v>5.7</v>
      </c>
      <c r="E84" s="21">
        <v>4.3</v>
      </c>
      <c r="F84" s="21">
        <v>4.5</v>
      </c>
      <c r="G84" s="21">
        <v>3.8</v>
      </c>
      <c r="H84" s="21">
        <v>5</v>
      </c>
      <c r="I84" s="22">
        <f t="shared" si="5"/>
        <v>5</v>
      </c>
    </row>
    <row r="85" spans="3:9" x14ac:dyDescent="0.2">
      <c r="C85" s="14">
        <f t="shared" si="6"/>
        <v>43956</v>
      </c>
      <c r="D85" s="21">
        <v>6.1</v>
      </c>
      <c r="E85" s="21">
        <v>5.7</v>
      </c>
      <c r="F85" s="21">
        <v>7.8</v>
      </c>
      <c r="G85" s="21">
        <v>5.8</v>
      </c>
      <c r="H85" s="21">
        <v>5.3</v>
      </c>
      <c r="I85" s="22">
        <f t="shared" si="5"/>
        <v>6</v>
      </c>
    </row>
    <row r="86" spans="3:9" x14ac:dyDescent="0.2">
      <c r="C86" s="14">
        <f t="shared" si="6"/>
        <v>43957</v>
      </c>
      <c r="D86" s="21">
        <v>4</v>
      </c>
      <c r="E86" s="21">
        <v>3.6</v>
      </c>
      <c r="F86" s="21">
        <v>5.3</v>
      </c>
      <c r="G86" s="21">
        <v>3.5</v>
      </c>
      <c r="H86" s="21">
        <v>3</v>
      </c>
      <c r="I86" s="22">
        <f t="shared" si="5"/>
        <v>4</v>
      </c>
    </row>
    <row r="87" spans="3:9" x14ac:dyDescent="0.2">
      <c r="C87" s="14">
        <f t="shared" si="6"/>
        <v>43958</v>
      </c>
      <c r="D87" s="21">
        <v>2.1</v>
      </c>
      <c r="E87" s="21">
        <v>2.5</v>
      </c>
      <c r="F87" s="21">
        <v>4.3</v>
      </c>
      <c r="G87" s="21">
        <v>2</v>
      </c>
      <c r="H87" s="21">
        <v>2.2000000000000002</v>
      </c>
      <c r="I87" s="22">
        <f t="shared" si="5"/>
        <v>3</v>
      </c>
    </row>
    <row r="88" spans="3:9" x14ac:dyDescent="0.2">
      <c r="C88" s="14">
        <f t="shared" si="6"/>
        <v>43959</v>
      </c>
      <c r="D88" s="21">
        <v>2.2000000000000002</v>
      </c>
      <c r="E88" s="21">
        <v>1.3</v>
      </c>
      <c r="F88" s="21">
        <v>3.8</v>
      </c>
      <c r="G88" s="21">
        <v>2.4</v>
      </c>
      <c r="H88" s="21">
        <v>1.3</v>
      </c>
      <c r="I88" s="22">
        <f t="shared" si="5"/>
        <v>2</v>
      </c>
    </row>
    <row r="89" spans="3:9" x14ac:dyDescent="0.2">
      <c r="C89" s="14">
        <f t="shared" si="6"/>
        <v>43960</v>
      </c>
      <c r="D89" s="21">
        <v>2</v>
      </c>
      <c r="E89" s="21">
        <v>1.5</v>
      </c>
      <c r="F89" s="21">
        <v>2.7</v>
      </c>
      <c r="G89" s="21">
        <v>1.7</v>
      </c>
      <c r="H89" s="21">
        <v>1.7</v>
      </c>
      <c r="I89" s="22">
        <f t="shared" si="5"/>
        <v>2</v>
      </c>
    </row>
    <row r="90" spans="3:9" x14ac:dyDescent="0.2">
      <c r="C90" s="14">
        <f t="shared" si="6"/>
        <v>43961</v>
      </c>
      <c r="D90" s="21">
        <v>2.4</v>
      </c>
      <c r="E90" s="21">
        <v>1.2</v>
      </c>
      <c r="F90" s="21">
        <v>2.6</v>
      </c>
      <c r="G90" s="21">
        <v>1.6</v>
      </c>
      <c r="H90" s="21">
        <v>1.8</v>
      </c>
      <c r="I90" s="22">
        <f t="shared" si="5"/>
        <v>2</v>
      </c>
    </row>
    <row r="91" spans="3:9" x14ac:dyDescent="0.2">
      <c r="C91" s="14">
        <f t="shared" si="6"/>
        <v>43962</v>
      </c>
      <c r="D91" s="21">
        <v>3.5</v>
      </c>
      <c r="E91" s="21">
        <v>1.8</v>
      </c>
      <c r="F91" s="21">
        <v>4.2</v>
      </c>
      <c r="G91" s="21">
        <v>2.8</v>
      </c>
      <c r="H91" s="21">
        <v>3</v>
      </c>
      <c r="I91" s="22">
        <f t="shared" si="5"/>
        <v>3</v>
      </c>
    </row>
    <row r="92" spans="3:9" x14ac:dyDescent="0.2">
      <c r="C92" s="14">
        <f t="shared" si="6"/>
        <v>43963</v>
      </c>
      <c r="D92" s="21">
        <v>4.8</v>
      </c>
      <c r="E92" s="21">
        <v>2.5</v>
      </c>
      <c r="F92" s="21">
        <v>5.0999999999999996</v>
      </c>
      <c r="G92" s="21">
        <v>3.9</v>
      </c>
      <c r="H92" s="21">
        <v>4.4000000000000004</v>
      </c>
      <c r="I92" s="22">
        <f t="shared" si="5"/>
        <v>4</v>
      </c>
    </row>
    <row r="93" spans="3:9" x14ac:dyDescent="0.2">
      <c r="C93" s="14">
        <f t="shared" si="6"/>
        <v>43964</v>
      </c>
      <c r="D93" s="21">
        <v>4.3</v>
      </c>
      <c r="E93" s="21">
        <v>2</v>
      </c>
      <c r="F93" s="21">
        <v>5.8</v>
      </c>
      <c r="G93" s="21">
        <v>4</v>
      </c>
      <c r="H93" s="21">
        <v>3.7</v>
      </c>
      <c r="I93" s="22">
        <f t="shared" si="5"/>
        <v>4</v>
      </c>
    </row>
    <row r="94" spans="3:9" x14ac:dyDescent="0.2">
      <c r="C94" s="14">
        <f t="shared" si="6"/>
        <v>43965</v>
      </c>
      <c r="D94" s="21">
        <v>3.8</v>
      </c>
      <c r="E94" s="21">
        <v>2.1</v>
      </c>
      <c r="F94" s="21">
        <v>3.2</v>
      </c>
      <c r="G94" s="21">
        <v>1.4</v>
      </c>
      <c r="H94" s="21">
        <v>3.5</v>
      </c>
      <c r="I94" s="22">
        <f t="shared" si="5"/>
        <v>3</v>
      </c>
    </row>
    <row r="95" spans="3:9" x14ac:dyDescent="0.2">
      <c r="C95" s="14">
        <f t="shared" si="6"/>
        <v>43966</v>
      </c>
      <c r="D95" s="21">
        <v>4</v>
      </c>
      <c r="E95" s="21">
        <v>3.4</v>
      </c>
      <c r="F95" s="21">
        <v>4.3</v>
      </c>
      <c r="G95" s="21">
        <v>2.9</v>
      </c>
      <c r="H95" s="21">
        <v>2.8</v>
      </c>
      <c r="I95" s="22">
        <f t="shared" si="5"/>
        <v>3</v>
      </c>
    </row>
    <row r="96" spans="3:9" x14ac:dyDescent="0.2">
      <c r="C96" s="14">
        <f t="shared" si="6"/>
        <v>43967</v>
      </c>
      <c r="D96" s="21">
        <v>3.5</v>
      </c>
      <c r="E96" s="21">
        <v>2.5</v>
      </c>
      <c r="F96" s="21">
        <v>4.8</v>
      </c>
      <c r="G96" s="21">
        <v>3.3</v>
      </c>
      <c r="H96" s="21">
        <v>2.6</v>
      </c>
      <c r="I96" s="22">
        <f t="shared" si="5"/>
        <v>3</v>
      </c>
    </row>
    <row r="97" spans="3:9" x14ac:dyDescent="0.2">
      <c r="C97" s="14">
        <f t="shared" si="6"/>
        <v>43968</v>
      </c>
      <c r="D97" s="21">
        <v>3.9</v>
      </c>
      <c r="E97" s="21">
        <v>1.9</v>
      </c>
      <c r="F97" s="21">
        <v>4.8</v>
      </c>
      <c r="G97" s="21">
        <v>3.7</v>
      </c>
      <c r="H97" s="21">
        <v>2.7</v>
      </c>
      <c r="I97" s="22">
        <f t="shared" si="5"/>
        <v>3</v>
      </c>
    </row>
    <row r="98" spans="3:9" x14ac:dyDescent="0.2">
      <c r="C98" s="14">
        <f t="shared" si="6"/>
        <v>43969</v>
      </c>
      <c r="D98" s="21">
        <v>2</v>
      </c>
      <c r="E98" s="21">
        <v>1.9</v>
      </c>
      <c r="F98" s="21">
        <v>3.2</v>
      </c>
      <c r="G98" s="21">
        <v>2.4</v>
      </c>
      <c r="H98" s="21">
        <v>2.1</v>
      </c>
      <c r="I98" s="22">
        <f t="shared" si="5"/>
        <v>2</v>
      </c>
    </row>
    <row r="99" spans="3:9" x14ac:dyDescent="0.2">
      <c r="C99" s="14">
        <f t="shared" si="6"/>
        <v>43970</v>
      </c>
      <c r="D99" s="21">
        <v>1.7</v>
      </c>
      <c r="E99" s="21">
        <v>0.3</v>
      </c>
      <c r="F99" s="21">
        <v>2.1</v>
      </c>
      <c r="G99" s="21">
        <v>0.7</v>
      </c>
      <c r="H99" s="21">
        <v>0.9</v>
      </c>
      <c r="I99" s="22">
        <f t="shared" ref="I99:I162" si="7">IFERROR(ROUND((D99*D$29)+(E99*E$29)+(F99*F$29)+(G99*G$29)+(H99*H$29),0),0)</f>
        <v>1</v>
      </c>
    </row>
    <row r="100" spans="3:9" x14ac:dyDescent="0.2">
      <c r="C100" s="14">
        <f t="shared" si="6"/>
        <v>43971</v>
      </c>
      <c r="D100" s="21">
        <v>2.1</v>
      </c>
      <c r="E100" s="21">
        <v>0.3</v>
      </c>
      <c r="F100" s="21">
        <v>2.1</v>
      </c>
      <c r="G100" s="21">
        <v>1.4</v>
      </c>
      <c r="H100" s="21">
        <v>1.2</v>
      </c>
      <c r="I100" s="22">
        <f t="shared" si="7"/>
        <v>1</v>
      </c>
    </row>
    <row r="101" spans="3:9" x14ac:dyDescent="0.2">
      <c r="C101" s="14">
        <f t="shared" ref="C101:C164" si="8">C100+1</f>
        <v>43972</v>
      </c>
      <c r="D101" s="21">
        <v>1.4</v>
      </c>
      <c r="E101" s="21">
        <v>1</v>
      </c>
      <c r="F101" s="21">
        <v>2.4</v>
      </c>
      <c r="G101" s="21">
        <v>1</v>
      </c>
      <c r="H101" s="21">
        <v>1.2</v>
      </c>
      <c r="I101" s="22">
        <f t="shared" si="7"/>
        <v>1</v>
      </c>
    </row>
    <row r="102" spans="3:9" x14ac:dyDescent="0.2">
      <c r="C102" s="14">
        <f t="shared" si="8"/>
        <v>43973</v>
      </c>
      <c r="D102" s="21">
        <v>0.7</v>
      </c>
      <c r="E102" s="21">
        <v>0.5</v>
      </c>
      <c r="F102" s="21">
        <v>1.3</v>
      </c>
      <c r="G102" s="21">
        <v>0.3</v>
      </c>
      <c r="H102" s="21">
        <v>0.8</v>
      </c>
      <c r="I102" s="22">
        <f t="shared" si="7"/>
        <v>1</v>
      </c>
    </row>
    <row r="103" spans="3:9" x14ac:dyDescent="0.2">
      <c r="C103" s="14">
        <f t="shared" si="8"/>
        <v>43974</v>
      </c>
      <c r="D103" s="21">
        <v>0.5</v>
      </c>
      <c r="E103" s="21">
        <v>0</v>
      </c>
      <c r="F103" s="21">
        <v>0.5</v>
      </c>
      <c r="G103" s="21">
        <v>0.1</v>
      </c>
      <c r="H103" s="21">
        <v>0</v>
      </c>
      <c r="I103" s="22">
        <f t="shared" si="7"/>
        <v>0</v>
      </c>
    </row>
    <row r="104" spans="3:9" x14ac:dyDescent="0.2">
      <c r="C104" s="14">
        <f t="shared" si="8"/>
        <v>43975</v>
      </c>
      <c r="D104" s="21">
        <v>1.1000000000000001</v>
      </c>
      <c r="E104" s="21">
        <v>0.5</v>
      </c>
      <c r="F104" s="21">
        <v>0.8</v>
      </c>
      <c r="G104" s="21">
        <v>0.6</v>
      </c>
      <c r="H104" s="21">
        <v>0.6</v>
      </c>
      <c r="I104" s="22">
        <f t="shared" si="7"/>
        <v>1</v>
      </c>
    </row>
    <row r="105" spans="3:9" x14ac:dyDescent="0.2">
      <c r="C105" s="14">
        <f t="shared" si="8"/>
        <v>43976</v>
      </c>
      <c r="D105" s="21">
        <v>0.5</v>
      </c>
      <c r="E105" s="21">
        <v>0.1</v>
      </c>
      <c r="F105" s="21">
        <v>1.5</v>
      </c>
      <c r="G105" s="21">
        <v>0.6</v>
      </c>
      <c r="H105" s="21">
        <v>0.4</v>
      </c>
      <c r="I105" s="22">
        <f t="shared" si="7"/>
        <v>1</v>
      </c>
    </row>
    <row r="106" spans="3:9" x14ac:dyDescent="0.2">
      <c r="C106" s="14">
        <f t="shared" si="8"/>
        <v>43977</v>
      </c>
      <c r="D106" s="21">
        <v>0.3</v>
      </c>
      <c r="E106" s="21">
        <v>0</v>
      </c>
      <c r="F106" s="21">
        <v>0.2</v>
      </c>
      <c r="G106" s="21">
        <v>0</v>
      </c>
      <c r="H106" s="21">
        <v>0.3</v>
      </c>
      <c r="I106" s="22">
        <f t="shared" si="7"/>
        <v>0</v>
      </c>
    </row>
    <row r="107" spans="3:9" x14ac:dyDescent="0.2">
      <c r="C107" s="14">
        <f t="shared" si="8"/>
        <v>43978</v>
      </c>
      <c r="D107" s="21">
        <v>0.9</v>
      </c>
      <c r="E107" s="21">
        <v>0.2</v>
      </c>
      <c r="F107" s="21">
        <v>0.4</v>
      </c>
      <c r="G107" s="21">
        <v>0.6</v>
      </c>
      <c r="H107" s="21">
        <v>0.6</v>
      </c>
      <c r="I107" s="22">
        <f t="shared" si="7"/>
        <v>1</v>
      </c>
    </row>
    <row r="108" spans="3:9" x14ac:dyDescent="0.2">
      <c r="C108" s="14">
        <f t="shared" si="8"/>
        <v>43979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2">
        <f t="shared" si="7"/>
        <v>0</v>
      </c>
    </row>
    <row r="109" spans="3:9" x14ac:dyDescent="0.2">
      <c r="C109" s="14">
        <f t="shared" si="8"/>
        <v>43980</v>
      </c>
      <c r="D109" s="21">
        <v>0</v>
      </c>
      <c r="E109" s="21">
        <v>0</v>
      </c>
      <c r="F109" s="21">
        <v>0</v>
      </c>
      <c r="G109" s="21">
        <v>0</v>
      </c>
      <c r="H109" s="21">
        <v>0</v>
      </c>
      <c r="I109" s="22">
        <f t="shared" si="7"/>
        <v>0</v>
      </c>
    </row>
    <row r="110" spans="3:9" x14ac:dyDescent="0.2">
      <c r="C110" s="14">
        <f t="shared" si="8"/>
        <v>43981</v>
      </c>
      <c r="D110" s="21">
        <v>0</v>
      </c>
      <c r="E110" s="21">
        <v>0</v>
      </c>
      <c r="F110" s="21">
        <v>0</v>
      </c>
      <c r="G110" s="21">
        <v>0</v>
      </c>
      <c r="H110" s="21">
        <v>0</v>
      </c>
      <c r="I110" s="22">
        <f t="shared" si="7"/>
        <v>0</v>
      </c>
    </row>
    <row r="111" spans="3:9" x14ac:dyDescent="0.2">
      <c r="C111" s="14">
        <f t="shared" si="8"/>
        <v>43982</v>
      </c>
      <c r="D111" s="21">
        <v>0.3</v>
      </c>
      <c r="E111" s="21">
        <v>0</v>
      </c>
      <c r="F111" s="21">
        <v>0.3</v>
      </c>
      <c r="G111" s="21">
        <v>0</v>
      </c>
      <c r="H111" s="21">
        <v>0.1</v>
      </c>
      <c r="I111" s="22">
        <f t="shared" si="7"/>
        <v>0</v>
      </c>
    </row>
    <row r="112" spans="3:9" x14ac:dyDescent="0.2">
      <c r="C112" s="14">
        <f t="shared" si="8"/>
        <v>43983</v>
      </c>
      <c r="D112" s="21">
        <v>1</v>
      </c>
      <c r="E112" s="21">
        <v>0.5</v>
      </c>
      <c r="F112" s="21">
        <v>1.7</v>
      </c>
      <c r="G112" s="21">
        <v>0.8</v>
      </c>
      <c r="H112" s="21">
        <v>0.7</v>
      </c>
      <c r="I112" s="22">
        <f t="shared" si="7"/>
        <v>1</v>
      </c>
    </row>
    <row r="113" spans="3:9" x14ac:dyDescent="0.2">
      <c r="C113" s="14">
        <f t="shared" si="8"/>
        <v>43984</v>
      </c>
      <c r="D113" s="21">
        <v>0.5</v>
      </c>
      <c r="E113" s="21">
        <v>0.2</v>
      </c>
      <c r="F113" s="21">
        <v>1.4</v>
      </c>
      <c r="G113" s="21">
        <v>0.5</v>
      </c>
      <c r="H113" s="21">
        <v>0.2</v>
      </c>
      <c r="I113" s="22">
        <f t="shared" si="7"/>
        <v>0</v>
      </c>
    </row>
    <row r="114" spans="3:9" x14ac:dyDescent="0.2">
      <c r="C114" s="14">
        <f t="shared" si="8"/>
        <v>43985</v>
      </c>
      <c r="D114" s="21">
        <v>0.2</v>
      </c>
      <c r="E114" s="21">
        <v>0</v>
      </c>
      <c r="F114" s="21">
        <v>0.3</v>
      </c>
      <c r="G114" s="21">
        <v>0</v>
      </c>
      <c r="H114" s="21">
        <v>0</v>
      </c>
      <c r="I114" s="22">
        <f t="shared" si="7"/>
        <v>0</v>
      </c>
    </row>
    <row r="115" spans="3:9" x14ac:dyDescent="0.2">
      <c r="C115" s="14">
        <f t="shared" si="8"/>
        <v>43986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2">
        <f t="shared" si="7"/>
        <v>0</v>
      </c>
    </row>
    <row r="116" spans="3:9" x14ac:dyDescent="0.2">
      <c r="C116" s="14">
        <f t="shared" si="8"/>
        <v>43987</v>
      </c>
      <c r="D116" s="21">
        <v>0</v>
      </c>
      <c r="E116" s="21">
        <v>0</v>
      </c>
      <c r="F116" s="21">
        <v>0.1</v>
      </c>
      <c r="G116" s="21">
        <v>0</v>
      </c>
      <c r="H116" s="21">
        <v>0</v>
      </c>
      <c r="I116" s="22">
        <f t="shared" si="7"/>
        <v>0</v>
      </c>
    </row>
    <row r="117" spans="3:9" x14ac:dyDescent="0.2">
      <c r="C117" s="14">
        <f t="shared" si="8"/>
        <v>43988</v>
      </c>
      <c r="D117" s="21">
        <v>0</v>
      </c>
      <c r="E117" s="21">
        <v>0</v>
      </c>
      <c r="F117" s="21">
        <v>0.2</v>
      </c>
      <c r="G117" s="21">
        <v>0</v>
      </c>
      <c r="H117" s="21">
        <v>0</v>
      </c>
      <c r="I117" s="22">
        <f t="shared" si="7"/>
        <v>0</v>
      </c>
    </row>
    <row r="118" spans="3:9" x14ac:dyDescent="0.2">
      <c r="C118" s="14">
        <f t="shared" si="8"/>
        <v>43989</v>
      </c>
      <c r="D118" s="21">
        <v>0</v>
      </c>
      <c r="E118" s="21">
        <v>0</v>
      </c>
      <c r="F118" s="21">
        <v>0.3</v>
      </c>
      <c r="G118" s="21">
        <v>0</v>
      </c>
      <c r="H118" s="21">
        <v>0</v>
      </c>
      <c r="I118" s="22">
        <f t="shared" si="7"/>
        <v>0</v>
      </c>
    </row>
    <row r="119" spans="3:9" x14ac:dyDescent="0.2">
      <c r="C119" s="14">
        <f t="shared" si="8"/>
        <v>43990</v>
      </c>
      <c r="D119" s="21">
        <v>0</v>
      </c>
      <c r="E119" s="21">
        <v>0</v>
      </c>
      <c r="F119" s="21">
        <v>0.3</v>
      </c>
      <c r="G119" s="21">
        <v>0</v>
      </c>
      <c r="H119" s="21">
        <v>0</v>
      </c>
      <c r="I119" s="22">
        <f t="shared" si="7"/>
        <v>0</v>
      </c>
    </row>
    <row r="120" spans="3:9" x14ac:dyDescent="0.2">
      <c r="C120" s="14">
        <f t="shared" si="8"/>
        <v>43991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2">
        <f t="shared" si="7"/>
        <v>0</v>
      </c>
    </row>
    <row r="121" spans="3:9" x14ac:dyDescent="0.2">
      <c r="C121" s="14">
        <f t="shared" si="8"/>
        <v>43992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2">
        <f t="shared" si="7"/>
        <v>0</v>
      </c>
    </row>
    <row r="122" spans="3:9" x14ac:dyDescent="0.2">
      <c r="C122" s="14">
        <f t="shared" si="8"/>
        <v>43993</v>
      </c>
      <c r="D122" s="21">
        <v>0</v>
      </c>
      <c r="E122" s="21">
        <v>0</v>
      </c>
      <c r="F122" s="21">
        <v>0.3</v>
      </c>
      <c r="G122" s="21">
        <v>0</v>
      </c>
      <c r="H122" s="21">
        <v>0</v>
      </c>
      <c r="I122" s="22">
        <f t="shared" si="7"/>
        <v>0</v>
      </c>
    </row>
    <row r="123" spans="3:9" x14ac:dyDescent="0.2">
      <c r="C123" s="14">
        <f t="shared" si="8"/>
        <v>43994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2">
        <f t="shared" si="7"/>
        <v>0</v>
      </c>
    </row>
    <row r="124" spans="3:9" x14ac:dyDescent="0.2">
      <c r="C124" s="14">
        <f t="shared" si="8"/>
        <v>43995</v>
      </c>
      <c r="D124" s="21">
        <v>0.3</v>
      </c>
      <c r="E124" s="21">
        <v>0</v>
      </c>
      <c r="F124" s="21">
        <v>0.3</v>
      </c>
      <c r="G124" s="21">
        <v>0</v>
      </c>
      <c r="H124" s="21">
        <v>0</v>
      </c>
      <c r="I124" s="22">
        <f t="shared" si="7"/>
        <v>0</v>
      </c>
    </row>
    <row r="125" spans="3:9" x14ac:dyDescent="0.2">
      <c r="C125" s="14">
        <f t="shared" si="8"/>
        <v>43996</v>
      </c>
      <c r="D125" s="21">
        <v>0.1</v>
      </c>
      <c r="E125" s="21">
        <v>0</v>
      </c>
      <c r="F125" s="21">
        <v>0.6</v>
      </c>
      <c r="G125" s="21">
        <v>0</v>
      </c>
      <c r="H125" s="21">
        <v>0</v>
      </c>
      <c r="I125" s="22">
        <f t="shared" si="7"/>
        <v>0</v>
      </c>
    </row>
    <row r="126" spans="3:9" x14ac:dyDescent="0.2">
      <c r="C126" s="14">
        <f t="shared" si="8"/>
        <v>43997</v>
      </c>
      <c r="D126" s="21">
        <v>0</v>
      </c>
      <c r="E126" s="21">
        <v>0</v>
      </c>
      <c r="F126" s="21">
        <v>0.1</v>
      </c>
      <c r="G126" s="21">
        <v>0</v>
      </c>
      <c r="H126" s="21">
        <v>0</v>
      </c>
      <c r="I126" s="22">
        <f t="shared" si="7"/>
        <v>0</v>
      </c>
    </row>
    <row r="127" spans="3:9" x14ac:dyDescent="0.2">
      <c r="C127" s="14">
        <f t="shared" si="8"/>
        <v>43998</v>
      </c>
      <c r="D127" s="21">
        <v>2.9</v>
      </c>
      <c r="E127" s="21">
        <v>0</v>
      </c>
      <c r="F127" s="21">
        <v>0</v>
      </c>
      <c r="G127" s="21">
        <v>0</v>
      </c>
      <c r="H127" s="21">
        <v>0</v>
      </c>
      <c r="I127" s="22">
        <f t="shared" si="7"/>
        <v>1</v>
      </c>
    </row>
    <row r="128" spans="3:9" x14ac:dyDescent="0.2">
      <c r="C128" s="14">
        <f t="shared" si="8"/>
        <v>43999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2">
        <f t="shared" si="7"/>
        <v>0</v>
      </c>
    </row>
    <row r="129" spans="3:9" x14ac:dyDescent="0.2">
      <c r="C129" s="14">
        <f t="shared" si="8"/>
        <v>44000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2">
        <f t="shared" si="7"/>
        <v>0</v>
      </c>
    </row>
    <row r="130" spans="3:9" x14ac:dyDescent="0.2">
      <c r="C130" s="14">
        <f t="shared" si="8"/>
        <v>44001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2">
        <f t="shared" si="7"/>
        <v>0</v>
      </c>
    </row>
    <row r="131" spans="3:9" x14ac:dyDescent="0.2">
      <c r="C131" s="14">
        <f t="shared" si="8"/>
        <v>44002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2">
        <f t="shared" si="7"/>
        <v>0</v>
      </c>
    </row>
    <row r="132" spans="3:9" x14ac:dyDescent="0.2">
      <c r="C132" s="14">
        <f t="shared" si="8"/>
        <v>44003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2">
        <f t="shared" si="7"/>
        <v>0</v>
      </c>
    </row>
    <row r="133" spans="3:9" x14ac:dyDescent="0.2">
      <c r="C133" s="14">
        <f t="shared" si="8"/>
        <v>44004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2">
        <f t="shared" si="7"/>
        <v>0</v>
      </c>
    </row>
    <row r="134" spans="3:9" x14ac:dyDescent="0.2">
      <c r="C134" s="14">
        <f t="shared" si="8"/>
        <v>44005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2">
        <f t="shared" si="7"/>
        <v>0</v>
      </c>
    </row>
    <row r="135" spans="3:9" x14ac:dyDescent="0.2">
      <c r="C135" s="14">
        <f t="shared" si="8"/>
        <v>44006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2">
        <f t="shared" si="7"/>
        <v>0</v>
      </c>
    </row>
    <row r="136" spans="3:9" x14ac:dyDescent="0.2">
      <c r="C136" s="14">
        <f t="shared" si="8"/>
        <v>44007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2">
        <f t="shared" si="7"/>
        <v>0</v>
      </c>
    </row>
    <row r="137" spans="3:9" x14ac:dyDescent="0.2">
      <c r="C137" s="14">
        <f t="shared" si="8"/>
        <v>44008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2">
        <f t="shared" si="7"/>
        <v>0</v>
      </c>
    </row>
    <row r="138" spans="3:9" x14ac:dyDescent="0.2">
      <c r="C138" s="14">
        <f t="shared" si="8"/>
        <v>44009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2">
        <f t="shared" si="7"/>
        <v>0</v>
      </c>
    </row>
    <row r="139" spans="3:9" x14ac:dyDescent="0.2">
      <c r="C139" s="14">
        <f t="shared" si="8"/>
        <v>44010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2">
        <f t="shared" si="7"/>
        <v>0</v>
      </c>
    </row>
    <row r="140" spans="3:9" x14ac:dyDescent="0.2">
      <c r="C140" s="14">
        <f t="shared" si="8"/>
        <v>44011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2">
        <f t="shared" si="7"/>
        <v>0</v>
      </c>
    </row>
    <row r="141" spans="3:9" x14ac:dyDescent="0.2">
      <c r="C141" s="14">
        <f t="shared" si="8"/>
        <v>44012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2">
        <f t="shared" si="7"/>
        <v>0</v>
      </c>
    </row>
    <row r="142" spans="3:9" x14ac:dyDescent="0.2">
      <c r="C142" s="14">
        <f t="shared" si="8"/>
        <v>44013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2">
        <f t="shared" si="7"/>
        <v>0</v>
      </c>
    </row>
    <row r="143" spans="3:9" x14ac:dyDescent="0.2">
      <c r="C143" s="14">
        <f t="shared" si="8"/>
        <v>44014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2">
        <f t="shared" si="7"/>
        <v>0</v>
      </c>
    </row>
    <row r="144" spans="3:9" x14ac:dyDescent="0.2">
      <c r="C144" s="14">
        <f t="shared" si="8"/>
        <v>44015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2">
        <f t="shared" si="7"/>
        <v>0</v>
      </c>
    </row>
    <row r="145" spans="3:9" x14ac:dyDescent="0.2">
      <c r="C145" s="14">
        <f t="shared" si="8"/>
        <v>44016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2">
        <f t="shared" si="7"/>
        <v>0</v>
      </c>
    </row>
    <row r="146" spans="3:9" x14ac:dyDescent="0.2">
      <c r="C146" s="14">
        <f t="shared" si="8"/>
        <v>44017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2">
        <f t="shared" si="7"/>
        <v>0</v>
      </c>
    </row>
    <row r="147" spans="3:9" x14ac:dyDescent="0.2">
      <c r="C147" s="14">
        <f t="shared" si="8"/>
        <v>44018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2">
        <f t="shared" si="7"/>
        <v>0</v>
      </c>
    </row>
    <row r="148" spans="3:9" x14ac:dyDescent="0.2">
      <c r="C148" s="14">
        <f t="shared" si="8"/>
        <v>44019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2">
        <f t="shared" si="7"/>
        <v>0</v>
      </c>
    </row>
    <row r="149" spans="3:9" x14ac:dyDescent="0.2">
      <c r="C149" s="14">
        <f t="shared" si="8"/>
        <v>44020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2">
        <f t="shared" si="7"/>
        <v>0</v>
      </c>
    </row>
    <row r="150" spans="3:9" x14ac:dyDescent="0.2">
      <c r="C150" s="14">
        <f t="shared" si="8"/>
        <v>44021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2">
        <f t="shared" si="7"/>
        <v>0</v>
      </c>
    </row>
    <row r="151" spans="3:9" x14ac:dyDescent="0.2">
      <c r="C151" s="14">
        <f t="shared" si="8"/>
        <v>44022</v>
      </c>
      <c r="D151" s="21">
        <v>0</v>
      </c>
      <c r="E151" s="21">
        <v>0</v>
      </c>
      <c r="F151" s="21">
        <v>0</v>
      </c>
      <c r="G151" s="21">
        <v>0</v>
      </c>
      <c r="H151" s="21">
        <v>0</v>
      </c>
      <c r="I151" s="22">
        <f t="shared" si="7"/>
        <v>0</v>
      </c>
    </row>
    <row r="152" spans="3:9" x14ac:dyDescent="0.2">
      <c r="C152" s="14">
        <f t="shared" si="8"/>
        <v>44023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2">
        <f t="shared" si="7"/>
        <v>0</v>
      </c>
    </row>
    <row r="153" spans="3:9" x14ac:dyDescent="0.2">
      <c r="C153" s="14">
        <f t="shared" si="8"/>
        <v>44024</v>
      </c>
      <c r="D153" s="21">
        <v>0</v>
      </c>
      <c r="E153" s="21">
        <v>0</v>
      </c>
      <c r="F153" s="21">
        <v>0</v>
      </c>
      <c r="G153" s="21">
        <v>0</v>
      </c>
      <c r="H153" s="21">
        <v>0</v>
      </c>
      <c r="I153" s="22">
        <f t="shared" si="7"/>
        <v>0</v>
      </c>
    </row>
    <row r="154" spans="3:9" x14ac:dyDescent="0.2">
      <c r="C154" s="14">
        <f t="shared" si="8"/>
        <v>44025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2">
        <f t="shared" si="7"/>
        <v>0</v>
      </c>
    </row>
    <row r="155" spans="3:9" x14ac:dyDescent="0.2">
      <c r="C155" s="14">
        <f t="shared" si="8"/>
        <v>44026</v>
      </c>
      <c r="D155" s="21">
        <v>0</v>
      </c>
      <c r="E155" s="21">
        <v>0</v>
      </c>
      <c r="F155" s="21">
        <v>0</v>
      </c>
      <c r="G155" s="21">
        <v>0</v>
      </c>
      <c r="H155" s="21">
        <v>0</v>
      </c>
      <c r="I155" s="22">
        <f t="shared" si="7"/>
        <v>0</v>
      </c>
    </row>
    <row r="156" spans="3:9" x14ac:dyDescent="0.2">
      <c r="C156" s="14">
        <f t="shared" si="8"/>
        <v>44027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2">
        <f t="shared" si="7"/>
        <v>0</v>
      </c>
    </row>
    <row r="157" spans="3:9" x14ac:dyDescent="0.2">
      <c r="C157" s="14">
        <f t="shared" si="8"/>
        <v>44028</v>
      </c>
      <c r="D157" s="21">
        <v>0</v>
      </c>
      <c r="E157" s="21">
        <v>0</v>
      </c>
      <c r="F157" s="21">
        <v>0</v>
      </c>
      <c r="G157" s="21">
        <v>0</v>
      </c>
      <c r="H157" s="21">
        <v>0</v>
      </c>
      <c r="I157" s="22">
        <f t="shared" si="7"/>
        <v>0</v>
      </c>
    </row>
    <row r="158" spans="3:9" x14ac:dyDescent="0.2">
      <c r="C158" s="14">
        <f t="shared" si="8"/>
        <v>44029</v>
      </c>
      <c r="D158" s="21">
        <v>0</v>
      </c>
      <c r="E158" s="21">
        <v>0</v>
      </c>
      <c r="F158" s="21">
        <v>0</v>
      </c>
      <c r="G158" s="21">
        <v>0</v>
      </c>
      <c r="H158" s="21">
        <v>0</v>
      </c>
      <c r="I158" s="22">
        <f t="shared" si="7"/>
        <v>0</v>
      </c>
    </row>
    <row r="159" spans="3:9" x14ac:dyDescent="0.2">
      <c r="C159" s="14">
        <f t="shared" si="8"/>
        <v>44030</v>
      </c>
      <c r="D159" s="21">
        <v>0</v>
      </c>
      <c r="E159" s="21">
        <v>0</v>
      </c>
      <c r="F159" s="21">
        <v>0</v>
      </c>
      <c r="G159" s="21">
        <v>0</v>
      </c>
      <c r="H159" s="21">
        <v>0</v>
      </c>
      <c r="I159" s="22">
        <f t="shared" si="7"/>
        <v>0</v>
      </c>
    </row>
    <row r="160" spans="3:9" x14ac:dyDescent="0.2">
      <c r="C160" s="14">
        <f t="shared" si="8"/>
        <v>44031</v>
      </c>
      <c r="D160" s="21">
        <v>0</v>
      </c>
      <c r="E160" s="21">
        <v>0</v>
      </c>
      <c r="F160" s="21">
        <v>0</v>
      </c>
      <c r="G160" s="21">
        <v>0</v>
      </c>
      <c r="H160" s="21">
        <v>0</v>
      </c>
      <c r="I160" s="22">
        <f t="shared" si="7"/>
        <v>0</v>
      </c>
    </row>
    <row r="161" spans="3:9" x14ac:dyDescent="0.2">
      <c r="C161" s="14">
        <f t="shared" si="8"/>
        <v>44032</v>
      </c>
      <c r="D161" s="21">
        <v>0</v>
      </c>
      <c r="E161" s="21">
        <v>0</v>
      </c>
      <c r="F161" s="21">
        <v>0</v>
      </c>
      <c r="G161" s="21">
        <v>0</v>
      </c>
      <c r="H161" s="21">
        <v>0</v>
      </c>
      <c r="I161" s="22">
        <f t="shared" si="7"/>
        <v>0</v>
      </c>
    </row>
    <row r="162" spans="3:9" x14ac:dyDescent="0.2">
      <c r="C162" s="14">
        <f t="shared" si="8"/>
        <v>44033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2">
        <f t="shared" si="7"/>
        <v>0</v>
      </c>
    </row>
    <row r="163" spans="3:9" x14ac:dyDescent="0.2">
      <c r="C163" s="14">
        <f t="shared" si="8"/>
        <v>44034</v>
      </c>
      <c r="D163" s="21">
        <v>0</v>
      </c>
      <c r="E163" s="21">
        <v>0</v>
      </c>
      <c r="F163" s="21">
        <v>0</v>
      </c>
      <c r="G163" s="21">
        <v>0</v>
      </c>
      <c r="H163" s="21">
        <v>0</v>
      </c>
      <c r="I163" s="22">
        <f t="shared" ref="I163:I226" si="9">IFERROR(ROUND((D163*D$29)+(E163*E$29)+(F163*F$29)+(G163*G$29)+(H163*H$29),0),0)</f>
        <v>0</v>
      </c>
    </row>
    <row r="164" spans="3:9" x14ac:dyDescent="0.2">
      <c r="C164" s="14">
        <f t="shared" si="8"/>
        <v>44035</v>
      </c>
      <c r="D164" s="21">
        <v>0</v>
      </c>
      <c r="E164" s="21">
        <v>0</v>
      </c>
      <c r="F164" s="21">
        <v>0</v>
      </c>
      <c r="G164" s="21">
        <v>0</v>
      </c>
      <c r="H164" s="21">
        <v>0</v>
      </c>
      <c r="I164" s="22">
        <f t="shared" si="9"/>
        <v>0</v>
      </c>
    </row>
    <row r="165" spans="3:9" x14ac:dyDescent="0.2">
      <c r="C165" s="14">
        <f t="shared" ref="C165:C228" si="10">C164+1</f>
        <v>44036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2">
        <f t="shared" si="9"/>
        <v>0</v>
      </c>
    </row>
    <row r="166" spans="3:9" x14ac:dyDescent="0.2">
      <c r="C166" s="14">
        <f t="shared" si="10"/>
        <v>44037</v>
      </c>
      <c r="D166" s="21">
        <v>0</v>
      </c>
      <c r="E166" s="21">
        <v>0</v>
      </c>
      <c r="F166" s="21">
        <v>0</v>
      </c>
      <c r="G166" s="21">
        <v>0</v>
      </c>
      <c r="H166" s="21">
        <v>0</v>
      </c>
      <c r="I166" s="22">
        <f t="shared" si="9"/>
        <v>0</v>
      </c>
    </row>
    <row r="167" spans="3:9" x14ac:dyDescent="0.2">
      <c r="C167" s="14">
        <f t="shared" si="10"/>
        <v>44038</v>
      </c>
      <c r="D167" s="21">
        <v>0</v>
      </c>
      <c r="E167" s="21">
        <v>0</v>
      </c>
      <c r="F167" s="21">
        <v>0</v>
      </c>
      <c r="G167" s="21">
        <v>0</v>
      </c>
      <c r="H167" s="21">
        <v>0</v>
      </c>
      <c r="I167" s="22">
        <f t="shared" si="9"/>
        <v>0</v>
      </c>
    </row>
    <row r="168" spans="3:9" x14ac:dyDescent="0.2">
      <c r="C168" s="14">
        <f t="shared" si="10"/>
        <v>44039</v>
      </c>
      <c r="D168" s="21">
        <v>0</v>
      </c>
      <c r="E168" s="21">
        <v>0</v>
      </c>
      <c r="F168" s="21">
        <v>0</v>
      </c>
      <c r="G168" s="21">
        <v>0</v>
      </c>
      <c r="H168" s="21">
        <v>0</v>
      </c>
      <c r="I168" s="22">
        <f t="shared" si="9"/>
        <v>0</v>
      </c>
    </row>
    <row r="169" spans="3:9" x14ac:dyDescent="0.2">
      <c r="C169" s="14">
        <f t="shared" si="10"/>
        <v>44040</v>
      </c>
      <c r="D169" s="21">
        <v>0</v>
      </c>
      <c r="E169" s="21">
        <v>0</v>
      </c>
      <c r="F169" s="21">
        <v>0</v>
      </c>
      <c r="G169" s="21">
        <v>0</v>
      </c>
      <c r="H169" s="21">
        <v>0</v>
      </c>
      <c r="I169" s="22">
        <f t="shared" si="9"/>
        <v>0</v>
      </c>
    </row>
    <row r="170" spans="3:9" x14ac:dyDescent="0.2">
      <c r="C170" s="14">
        <f t="shared" si="10"/>
        <v>44041</v>
      </c>
      <c r="D170" s="21">
        <v>0</v>
      </c>
      <c r="E170" s="21">
        <v>0</v>
      </c>
      <c r="F170" s="21">
        <v>0.2</v>
      </c>
      <c r="G170" s="21">
        <v>0</v>
      </c>
      <c r="H170" s="21">
        <v>0</v>
      </c>
      <c r="I170" s="22">
        <f t="shared" si="9"/>
        <v>0</v>
      </c>
    </row>
    <row r="171" spans="3:9" x14ac:dyDescent="0.2">
      <c r="C171" s="14">
        <f t="shared" si="10"/>
        <v>44042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2">
        <f t="shared" si="9"/>
        <v>0</v>
      </c>
    </row>
    <row r="172" spans="3:9" x14ac:dyDescent="0.2">
      <c r="C172" s="14">
        <f t="shared" si="10"/>
        <v>44043</v>
      </c>
      <c r="D172" s="21">
        <v>0</v>
      </c>
      <c r="E172" s="21">
        <v>0</v>
      </c>
      <c r="F172" s="21">
        <v>0</v>
      </c>
      <c r="G172" s="21">
        <v>0</v>
      </c>
      <c r="H172" s="21">
        <v>0</v>
      </c>
      <c r="I172" s="22">
        <f t="shared" si="9"/>
        <v>0</v>
      </c>
    </row>
    <row r="173" spans="3:9" x14ac:dyDescent="0.2">
      <c r="C173" s="14">
        <f t="shared" si="10"/>
        <v>44044</v>
      </c>
      <c r="D173" s="21">
        <v>0</v>
      </c>
      <c r="E173" s="21">
        <v>0</v>
      </c>
      <c r="F173" s="21">
        <v>0</v>
      </c>
      <c r="G173" s="21">
        <v>0</v>
      </c>
      <c r="H173" s="21">
        <v>0</v>
      </c>
      <c r="I173" s="22">
        <f t="shared" si="9"/>
        <v>0</v>
      </c>
    </row>
    <row r="174" spans="3:9" x14ac:dyDescent="0.2">
      <c r="C174" s="14">
        <f t="shared" si="10"/>
        <v>44045</v>
      </c>
      <c r="D174" s="21">
        <v>0</v>
      </c>
      <c r="E174" s="21">
        <v>0</v>
      </c>
      <c r="F174" s="21">
        <v>0</v>
      </c>
      <c r="G174" s="21">
        <v>0</v>
      </c>
      <c r="H174" s="21">
        <v>0</v>
      </c>
      <c r="I174" s="22">
        <f t="shared" si="9"/>
        <v>0</v>
      </c>
    </row>
    <row r="175" spans="3:9" x14ac:dyDescent="0.2">
      <c r="C175" s="14">
        <f t="shared" si="10"/>
        <v>44046</v>
      </c>
      <c r="D175" s="21">
        <v>0</v>
      </c>
      <c r="E175" s="21">
        <v>0</v>
      </c>
      <c r="F175" s="21">
        <v>0</v>
      </c>
      <c r="G175" s="21">
        <v>0</v>
      </c>
      <c r="H175" s="21">
        <v>0</v>
      </c>
      <c r="I175" s="22">
        <f t="shared" si="9"/>
        <v>0</v>
      </c>
    </row>
    <row r="176" spans="3:9" x14ac:dyDescent="0.2">
      <c r="C176" s="14">
        <f t="shared" si="10"/>
        <v>44047</v>
      </c>
      <c r="D176" s="21">
        <v>0</v>
      </c>
      <c r="E176" s="21">
        <v>0</v>
      </c>
      <c r="F176" s="21">
        <v>0</v>
      </c>
      <c r="G176" s="21">
        <v>0</v>
      </c>
      <c r="H176" s="21">
        <v>0</v>
      </c>
      <c r="I176" s="22">
        <f t="shared" si="9"/>
        <v>0</v>
      </c>
    </row>
    <row r="177" spans="3:9" x14ac:dyDescent="0.2">
      <c r="C177" s="14">
        <f t="shared" si="10"/>
        <v>44048</v>
      </c>
      <c r="D177" s="21">
        <v>0</v>
      </c>
      <c r="E177" s="21">
        <v>0</v>
      </c>
      <c r="F177" s="21">
        <v>0</v>
      </c>
      <c r="G177" s="21">
        <v>0</v>
      </c>
      <c r="H177" s="21">
        <v>0</v>
      </c>
      <c r="I177" s="22">
        <f t="shared" si="9"/>
        <v>0</v>
      </c>
    </row>
    <row r="178" spans="3:9" x14ac:dyDescent="0.2">
      <c r="C178" s="14">
        <f t="shared" si="10"/>
        <v>44049</v>
      </c>
      <c r="D178" s="21">
        <v>0</v>
      </c>
      <c r="E178" s="21">
        <v>0</v>
      </c>
      <c r="F178" s="21">
        <v>0</v>
      </c>
      <c r="G178" s="21">
        <v>0</v>
      </c>
      <c r="H178" s="21">
        <v>0</v>
      </c>
      <c r="I178" s="22">
        <f t="shared" si="9"/>
        <v>0</v>
      </c>
    </row>
    <row r="179" spans="3:9" x14ac:dyDescent="0.2">
      <c r="C179" s="14">
        <f t="shared" si="10"/>
        <v>44050</v>
      </c>
      <c r="D179" s="21">
        <v>0</v>
      </c>
      <c r="E179" s="21">
        <v>0</v>
      </c>
      <c r="F179" s="21">
        <v>0</v>
      </c>
      <c r="G179" s="21">
        <v>0</v>
      </c>
      <c r="H179" s="21">
        <v>0</v>
      </c>
      <c r="I179" s="22">
        <f t="shared" si="9"/>
        <v>0</v>
      </c>
    </row>
    <row r="180" spans="3:9" x14ac:dyDescent="0.2">
      <c r="C180" s="14">
        <f t="shared" si="10"/>
        <v>44051</v>
      </c>
      <c r="D180" s="21">
        <v>0</v>
      </c>
      <c r="E180" s="21">
        <v>0</v>
      </c>
      <c r="F180" s="21">
        <v>0</v>
      </c>
      <c r="G180" s="21">
        <v>0</v>
      </c>
      <c r="H180" s="21">
        <v>0</v>
      </c>
      <c r="I180" s="22">
        <f t="shared" si="9"/>
        <v>0</v>
      </c>
    </row>
    <row r="181" spans="3:9" x14ac:dyDescent="0.2">
      <c r="C181" s="14">
        <f t="shared" si="10"/>
        <v>44052</v>
      </c>
      <c r="D181" s="21">
        <v>0</v>
      </c>
      <c r="E181" s="21">
        <v>0</v>
      </c>
      <c r="F181" s="21">
        <v>0</v>
      </c>
      <c r="G181" s="21">
        <v>0</v>
      </c>
      <c r="H181" s="21">
        <v>0</v>
      </c>
      <c r="I181" s="22">
        <f t="shared" si="9"/>
        <v>0</v>
      </c>
    </row>
    <row r="182" spans="3:9" x14ac:dyDescent="0.2">
      <c r="C182" s="14">
        <f t="shared" si="10"/>
        <v>44053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2">
        <f t="shared" si="9"/>
        <v>0</v>
      </c>
    </row>
    <row r="183" spans="3:9" x14ac:dyDescent="0.2">
      <c r="C183" s="14">
        <f t="shared" si="10"/>
        <v>44054</v>
      </c>
      <c r="D183" s="21">
        <v>0</v>
      </c>
      <c r="E183" s="21">
        <v>0</v>
      </c>
      <c r="F183" s="21">
        <v>0</v>
      </c>
      <c r="G183" s="21">
        <v>0</v>
      </c>
      <c r="H183" s="21">
        <v>0</v>
      </c>
      <c r="I183" s="22">
        <f t="shared" si="9"/>
        <v>0</v>
      </c>
    </row>
    <row r="184" spans="3:9" x14ac:dyDescent="0.2">
      <c r="C184" s="14">
        <f t="shared" si="10"/>
        <v>44055</v>
      </c>
      <c r="D184" s="21">
        <v>0</v>
      </c>
      <c r="E184" s="21">
        <v>0</v>
      </c>
      <c r="F184" s="21">
        <v>0</v>
      </c>
      <c r="G184" s="21">
        <v>0</v>
      </c>
      <c r="H184" s="21">
        <v>0</v>
      </c>
      <c r="I184" s="22">
        <f t="shared" si="9"/>
        <v>0</v>
      </c>
    </row>
    <row r="185" spans="3:9" x14ac:dyDescent="0.2">
      <c r="C185" s="14">
        <f t="shared" si="10"/>
        <v>44056</v>
      </c>
      <c r="D185" s="21">
        <v>0</v>
      </c>
      <c r="E185" s="21">
        <v>0</v>
      </c>
      <c r="F185" s="21">
        <v>0</v>
      </c>
      <c r="G185" s="21">
        <v>0</v>
      </c>
      <c r="H185" s="21">
        <v>0</v>
      </c>
      <c r="I185" s="22">
        <f t="shared" si="9"/>
        <v>0</v>
      </c>
    </row>
    <row r="186" spans="3:9" x14ac:dyDescent="0.2">
      <c r="C186" s="14">
        <f t="shared" si="10"/>
        <v>44057</v>
      </c>
      <c r="D186" s="21">
        <v>0</v>
      </c>
      <c r="E186" s="21">
        <v>0</v>
      </c>
      <c r="F186" s="21">
        <v>0.2</v>
      </c>
      <c r="G186" s="21">
        <v>0</v>
      </c>
      <c r="H186" s="21">
        <v>0</v>
      </c>
      <c r="I186" s="22">
        <f t="shared" si="9"/>
        <v>0</v>
      </c>
    </row>
    <row r="187" spans="3:9" x14ac:dyDescent="0.2">
      <c r="C187" s="14">
        <f t="shared" si="10"/>
        <v>44058</v>
      </c>
      <c r="D187" s="21">
        <v>0</v>
      </c>
      <c r="E187" s="21">
        <v>0</v>
      </c>
      <c r="F187" s="21">
        <v>0.1</v>
      </c>
      <c r="G187" s="21">
        <v>0</v>
      </c>
      <c r="H187" s="21">
        <v>0</v>
      </c>
      <c r="I187" s="22">
        <f t="shared" si="9"/>
        <v>0</v>
      </c>
    </row>
    <row r="188" spans="3:9" x14ac:dyDescent="0.2">
      <c r="C188" s="14">
        <f t="shared" si="10"/>
        <v>44059</v>
      </c>
      <c r="D188" s="21">
        <v>0</v>
      </c>
      <c r="E188" s="21">
        <v>0</v>
      </c>
      <c r="F188" s="21">
        <v>0</v>
      </c>
      <c r="G188" s="21">
        <v>0</v>
      </c>
      <c r="H188" s="21">
        <v>0</v>
      </c>
      <c r="I188" s="22">
        <f t="shared" si="9"/>
        <v>0</v>
      </c>
    </row>
    <row r="189" spans="3:9" x14ac:dyDescent="0.2">
      <c r="C189" s="14">
        <f t="shared" si="10"/>
        <v>44060</v>
      </c>
      <c r="D189" s="21">
        <v>0</v>
      </c>
      <c r="E189" s="21">
        <v>0</v>
      </c>
      <c r="F189" s="21">
        <v>0</v>
      </c>
      <c r="G189" s="21">
        <v>0</v>
      </c>
      <c r="H189" s="21">
        <v>0</v>
      </c>
      <c r="I189" s="22">
        <f t="shared" si="9"/>
        <v>0</v>
      </c>
    </row>
    <row r="190" spans="3:9" x14ac:dyDescent="0.2">
      <c r="C190" s="14">
        <f t="shared" si="10"/>
        <v>44061</v>
      </c>
      <c r="D190" s="21">
        <v>0</v>
      </c>
      <c r="E190" s="21">
        <v>0</v>
      </c>
      <c r="F190" s="21">
        <v>0</v>
      </c>
      <c r="G190" s="21">
        <v>0</v>
      </c>
      <c r="H190" s="21">
        <v>0</v>
      </c>
      <c r="I190" s="22">
        <f t="shared" si="9"/>
        <v>0</v>
      </c>
    </row>
    <row r="191" spans="3:9" x14ac:dyDescent="0.2">
      <c r="C191" s="14">
        <f t="shared" si="10"/>
        <v>44062</v>
      </c>
      <c r="D191" s="21">
        <v>0</v>
      </c>
      <c r="E191" s="21">
        <v>0</v>
      </c>
      <c r="F191" s="21">
        <v>0</v>
      </c>
      <c r="G191" s="21">
        <v>0</v>
      </c>
      <c r="H191" s="21">
        <v>0</v>
      </c>
      <c r="I191" s="22">
        <f t="shared" si="9"/>
        <v>0</v>
      </c>
    </row>
    <row r="192" spans="3:9" x14ac:dyDescent="0.2">
      <c r="C192" s="14">
        <f t="shared" si="10"/>
        <v>44063</v>
      </c>
      <c r="D192" s="21">
        <v>0</v>
      </c>
      <c r="E192" s="21">
        <v>0</v>
      </c>
      <c r="F192" s="21">
        <v>0</v>
      </c>
      <c r="G192" s="21">
        <v>0</v>
      </c>
      <c r="H192" s="21">
        <v>0</v>
      </c>
      <c r="I192" s="22">
        <f t="shared" si="9"/>
        <v>0</v>
      </c>
    </row>
    <row r="193" spans="3:9" x14ac:dyDescent="0.2">
      <c r="C193" s="14">
        <f t="shared" si="10"/>
        <v>44064</v>
      </c>
      <c r="D193" s="21">
        <v>0</v>
      </c>
      <c r="E193" s="21">
        <v>0</v>
      </c>
      <c r="F193" s="21">
        <v>0</v>
      </c>
      <c r="G193" s="21">
        <v>0</v>
      </c>
      <c r="H193" s="21">
        <v>0</v>
      </c>
      <c r="I193" s="22">
        <f t="shared" si="9"/>
        <v>0</v>
      </c>
    </row>
    <row r="194" spans="3:9" x14ac:dyDescent="0.2">
      <c r="C194" s="14">
        <f t="shared" si="10"/>
        <v>44065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2">
        <f t="shared" si="9"/>
        <v>0</v>
      </c>
    </row>
    <row r="195" spans="3:9" x14ac:dyDescent="0.2">
      <c r="C195" s="14">
        <f t="shared" si="10"/>
        <v>44066</v>
      </c>
      <c r="D195" s="21">
        <v>0</v>
      </c>
      <c r="E195" s="21">
        <v>0</v>
      </c>
      <c r="F195" s="21">
        <v>0</v>
      </c>
      <c r="G195" s="21">
        <v>0</v>
      </c>
      <c r="H195" s="21">
        <v>0</v>
      </c>
      <c r="I195" s="22">
        <f t="shared" si="9"/>
        <v>0</v>
      </c>
    </row>
    <row r="196" spans="3:9" x14ac:dyDescent="0.2">
      <c r="C196" s="14">
        <f t="shared" si="10"/>
        <v>44067</v>
      </c>
      <c r="D196" s="21">
        <v>0.2</v>
      </c>
      <c r="E196" s="21">
        <v>0</v>
      </c>
      <c r="F196" s="21">
        <v>0</v>
      </c>
      <c r="G196" s="21">
        <v>0</v>
      </c>
      <c r="H196" s="21">
        <v>0</v>
      </c>
      <c r="I196" s="22">
        <f t="shared" si="9"/>
        <v>0</v>
      </c>
    </row>
    <row r="197" spans="3:9" x14ac:dyDescent="0.2">
      <c r="C197" s="14">
        <f t="shared" si="10"/>
        <v>44068</v>
      </c>
      <c r="D197" s="21">
        <v>0</v>
      </c>
      <c r="E197" s="21">
        <v>0</v>
      </c>
      <c r="F197" s="21">
        <v>0</v>
      </c>
      <c r="G197" s="21">
        <v>0</v>
      </c>
      <c r="H197" s="21">
        <v>0</v>
      </c>
      <c r="I197" s="22">
        <f t="shared" si="9"/>
        <v>0</v>
      </c>
    </row>
    <row r="198" spans="3:9" x14ac:dyDescent="0.2">
      <c r="C198" s="14">
        <f t="shared" si="10"/>
        <v>44069</v>
      </c>
      <c r="D198" s="21">
        <v>0</v>
      </c>
      <c r="E198" s="21">
        <v>0</v>
      </c>
      <c r="F198" s="21">
        <v>0</v>
      </c>
      <c r="G198" s="21">
        <v>0</v>
      </c>
      <c r="H198" s="21">
        <v>0</v>
      </c>
      <c r="I198" s="22">
        <f t="shared" si="9"/>
        <v>0</v>
      </c>
    </row>
    <row r="199" spans="3:9" x14ac:dyDescent="0.2">
      <c r="C199" s="14">
        <f t="shared" si="10"/>
        <v>44070</v>
      </c>
      <c r="D199" s="21">
        <v>0</v>
      </c>
      <c r="E199" s="21">
        <v>0</v>
      </c>
      <c r="F199" s="21">
        <v>0</v>
      </c>
      <c r="G199" s="21">
        <v>0</v>
      </c>
      <c r="H199" s="21">
        <v>0</v>
      </c>
      <c r="I199" s="22">
        <f t="shared" si="9"/>
        <v>0</v>
      </c>
    </row>
    <row r="200" spans="3:9" x14ac:dyDescent="0.2">
      <c r="C200" s="14">
        <f t="shared" si="10"/>
        <v>44071</v>
      </c>
      <c r="D200" s="21">
        <v>0</v>
      </c>
      <c r="E200" s="21">
        <v>0</v>
      </c>
      <c r="F200" s="21">
        <v>0</v>
      </c>
      <c r="G200" s="21">
        <v>0</v>
      </c>
      <c r="H200" s="21">
        <v>0</v>
      </c>
      <c r="I200" s="22">
        <f t="shared" si="9"/>
        <v>0</v>
      </c>
    </row>
    <row r="201" spans="3:9" x14ac:dyDescent="0.2">
      <c r="C201" s="14">
        <f t="shared" si="10"/>
        <v>44072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22">
        <f t="shared" si="9"/>
        <v>0</v>
      </c>
    </row>
    <row r="202" spans="3:9" x14ac:dyDescent="0.2">
      <c r="C202" s="14">
        <f t="shared" si="10"/>
        <v>44073</v>
      </c>
      <c r="D202" s="21">
        <v>0</v>
      </c>
      <c r="E202" s="21">
        <v>0</v>
      </c>
      <c r="F202" s="21">
        <v>0</v>
      </c>
      <c r="G202" s="21">
        <v>0</v>
      </c>
      <c r="H202" s="21">
        <v>0</v>
      </c>
      <c r="I202" s="22">
        <f t="shared" si="9"/>
        <v>0</v>
      </c>
    </row>
    <row r="203" spans="3:9" x14ac:dyDescent="0.2">
      <c r="C203" s="14">
        <f t="shared" si="10"/>
        <v>44074</v>
      </c>
      <c r="D203" s="21">
        <v>0</v>
      </c>
      <c r="E203" s="21">
        <v>0</v>
      </c>
      <c r="F203" s="21">
        <v>0</v>
      </c>
      <c r="G203" s="21">
        <v>0</v>
      </c>
      <c r="H203" s="21">
        <v>0</v>
      </c>
      <c r="I203" s="22">
        <f t="shared" si="9"/>
        <v>0</v>
      </c>
    </row>
    <row r="204" spans="3:9" x14ac:dyDescent="0.2">
      <c r="C204" s="14">
        <f t="shared" si="10"/>
        <v>44075</v>
      </c>
      <c r="D204" s="21">
        <v>0</v>
      </c>
      <c r="E204" s="21">
        <v>0</v>
      </c>
      <c r="F204" s="21">
        <v>0</v>
      </c>
      <c r="G204" s="21">
        <v>0</v>
      </c>
      <c r="H204" s="21">
        <v>0</v>
      </c>
      <c r="I204" s="22">
        <f t="shared" si="9"/>
        <v>0</v>
      </c>
    </row>
    <row r="205" spans="3:9" x14ac:dyDescent="0.2">
      <c r="C205" s="14">
        <f t="shared" si="10"/>
        <v>44076</v>
      </c>
      <c r="D205" s="21">
        <v>0</v>
      </c>
      <c r="E205" s="21">
        <v>0</v>
      </c>
      <c r="F205" s="21">
        <v>0.5</v>
      </c>
      <c r="G205" s="21">
        <v>0.4</v>
      </c>
      <c r="H205" s="21">
        <v>0</v>
      </c>
      <c r="I205" s="22">
        <f t="shared" si="9"/>
        <v>0</v>
      </c>
    </row>
    <row r="206" spans="3:9" x14ac:dyDescent="0.2">
      <c r="C206" s="14">
        <f t="shared" si="10"/>
        <v>44077</v>
      </c>
      <c r="D206" s="21">
        <v>0</v>
      </c>
      <c r="E206" s="21">
        <v>0</v>
      </c>
      <c r="F206" s="21">
        <v>0</v>
      </c>
      <c r="G206" s="21">
        <v>0</v>
      </c>
      <c r="H206" s="21">
        <v>0</v>
      </c>
      <c r="I206" s="22">
        <f t="shared" si="9"/>
        <v>0</v>
      </c>
    </row>
    <row r="207" spans="3:9" x14ac:dyDescent="0.2">
      <c r="C207" s="14">
        <f t="shared" si="10"/>
        <v>44078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2">
        <f t="shared" si="9"/>
        <v>0</v>
      </c>
    </row>
    <row r="208" spans="3:9" x14ac:dyDescent="0.2">
      <c r="C208" s="14">
        <f t="shared" si="10"/>
        <v>44079</v>
      </c>
      <c r="D208" s="21">
        <v>0.1</v>
      </c>
      <c r="E208" s="21">
        <v>0.2</v>
      </c>
      <c r="F208" s="21">
        <v>0.2</v>
      </c>
      <c r="G208" s="21">
        <v>0</v>
      </c>
      <c r="H208" s="21">
        <v>0</v>
      </c>
      <c r="I208" s="22">
        <f t="shared" si="9"/>
        <v>0</v>
      </c>
    </row>
    <row r="209" spans="3:9" x14ac:dyDescent="0.2">
      <c r="C209" s="14">
        <f t="shared" si="10"/>
        <v>44080</v>
      </c>
      <c r="D209" s="21">
        <v>0.6</v>
      </c>
      <c r="E209" s="21">
        <v>0.8</v>
      </c>
      <c r="F209" s="21">
        <v>1.2</v>
      </c>
      <c r="G209" s="21">
        <v>0.6</v>
      </c>
      <c r="H209" s="21">
        <v>0.5</v>
      </c>
      <c r="I209" s="22">
        <f t="shared" si="9"/>
        <v>1</v>
      </c>
    </row>
    <row r="210" spans="3:9" x14ac:dyDescent="0.2">
      <c r="C210" s="14">
        <f t="shared" si="10"/>
        <v>44081</v>
      </c>
      <c r="D210" s="21">
        <v>0.5</v>
      </c>
      <c r="E210" s="21">
        <v>0.3</v>
      </c>
      <c r="F210" s="21">
        <v>1.1000000000000001</v>
      </c>
      <c r="G210" s="21">
        <v>0.6</v>
      </c>
      <c r="H210" s="21">
        <v>0.4</v>
      </c>
      <c r="I210" s="22">
        <f t="shared" si="9"/>
        <v>1</v>
      </c>
    </row>
    <row r="211" spans="3:9" x14ac:dyDescent="0.2">
      <c r="C211" s="14">
        <f t="shared" si="10"/>
        <v>44082</v>
      </c>
      <c r="D211" s="21">
        <v>0.1</v>
      </c>
      <c r="E211" s="21">
        <v>0.3</v>
      </c>
      <c r="F211" s="21">
        <v>0.9</v>
      </c>
      <c r="G211" s="21">
        <v>0.5</v>
      </c>
      <c r="H211" s="21">
        <v>0</v>
      </c>
      <c r="I211" s="22">
        <f t="shared" si="9"/>
        <v>0</v>
      </c>
    </row>
    <row r="212" spans="3:9" x14ac:dyDescent="0.2">
      <c r="C212" s="14">
        <f t="shared" si="10"/>
        <v>44083</v>
      </c>
      <c r="D212" s="21">
        <v>0.5</v>
      </c>
      <c r="E212" s="21">
        <v>0</v>
      </c>
      <c r="F212" s="21">
        <v>0.3</v>
      </c>
      <c r="G212" s="21">
        <v>0</v>
      </c>
      <c r="H212" s="21">
        <v>0.2</v>
      </c>
      <c r="I212" s="22">
        <f t="shared" si="9"/>
        <v>0</v>
      </c>
    </row>
    <row r="213" spans="3:9" x14ac:dyDescent="0.2">
      <c r="C213" s="14">
        <f t="shared" si="10"/>
        <v>44084</v>
      </c>
      <c r="D213" s="21">
        <v>0.1</v>
      </c>
      <c r="E213" s="21">
        <v>0</v>
      </c>
      <c r="F213" s="21">
        <v>0.5</v>
      </c>
      <c r="G213" s="21">
        <v>0.1</v>
      </c>
      <c r="H213" s="21">
        <v>0</v>
      </c>
      <c r="I213" s="22">
        <f t="shared" si="9"/>
        <v>0</v>
      </c>
    </row>
    <row r="214" spans="3:9" x14ac:dyDescent="0.2">
      <c r="C214" s="14">
        <f t="shared" si="10"/>
        <v>44085</v>
      </c>
      <c r="D214" s="21">
        <v>0</v>
      </c>
      <c r="E214" s="21">
        <v>0.2</v>
      </c>
      <c r="F214" s="21">
        <v>0.5</v>
      </c>
      <c r="G214" s="21">
        <v>0.2</v>
      </c>
      <c r="H214" s="21">
        <v>0.1</v>
      </c>
      <c r="I214" s="22">
        <f t="shared" si="9"/>
        <v>0</v>
      </c>
    </row>
    <row r="215" spans="3:9" x14ac:dyDescent="0.2">
      <c r="C215" s="14">
        <f t="shared" si="10"/>
        <v>44086</v>
      </c>
      <c r="D215" s="21">
        <v>0.6</v>
      </c>
      <c r="E215" s="21">
        <v>0.3</v>
      </c>
      <c r="F215" s="21">
        <v>0.4</v>
      </c>
      <c r="G215" s="21">
        <v>0.1</v>
      </c>
      <c r="H215" s="21">
        <v>0.8</v>
      </c>
      <c r="I215" s="22">
        <f t="shared" si="9"/>
        <v>1</v>
      </c>
    </row>
    <row r="216" spans="3:9" x14ac:dyDescent="0.2">
      <c r="C216" s="14">
        <f t="shared" si="10"/>
        <v>44087</v>
      </c>
      <c r="D216" s="21">
        <v>1.1000000000000001</v>
      </c>
      <c r="E216" s="21">
        <v>0.8</v>
      </c>
      <c r="F216" s="21">
        <v>1.7</v>
      </c>
      <c r="G216" s="21">
        <v>0.7</v>
      </c>
      <c r="H216" s="21">
        <v>1</v>
      </c>
      <c r="I216" s="22">
        <f t="shared" si="9"/>
        <v>1</v>
      </c>
    </row>
    <row r="217" spans="3:9" x14ac:dyDescent="0.2">
      <c r="C217" s="14">
        <f t="shared" si="10"/>
        <v>44088</v>
      </c>
      <c r="D217" s="21">
        <v>0.9</v>
      </c>
      <c r="E217" s="21">
        <v>0.1</v>
      </c>
      <c r="F217" s="21">
        <v>1.3</v>
      </c>
      <c r="G217" s="21">
        <v>0.4</v>
      </c>
      <c r="H217" s="21">
        <v>0.4</v>
      </c>
      <c r="I217" s="22">
        <f t="shared" si="9"/>
        <v>1</v>
      </c>
    </row>
    <row r="218" spans="3:9" x14ac:dyDescent="0.2">
      <c r="C218" s="14">
        <f t="shared" si="10"/>
        <v>44089</v>
      </c>
      <c r="D218" s="21">
        <v>0.6</v>
      </c>
      <c r="E218" s="21">
        <v>0.4</v>
      </c>
      <c r="F218" s="21">
        <v>1.3</v>
      </c>
      <c r="G218" s="21">
        <v>0.5</v>
      </c>
      <c r="H218" s="21">
        <v>0.5</v>
      </c>
      <c r="I218" s="22">
        <f t="shared" si="9"/>
        <v>1</v>
      </c>
    </row>
    <row r="219" spans="3:9" x14ac:dyDescent="0.2">
      <c r="C219" s="14">
        <f t="shared" si="10"/>
        <v>44090</v>
      </c>
      <c r="D219" s="21">
        <v>0.9</v>
      </c>
      <c r="E219" s="21">
        <v>0.3</v>
      </c>
      <c r="F219" s="21">
        <v>1.3</v>
      </c>
      <c r="G219" s="21">
        <v>0.5</v>
      </c>
      <c r="H219" s="21">
        <v>0.6</v>
      </c>
      <c r="I219" s="22">
        <f t="shared" si="9"/>
        <v>1</v>
      </c>
    </row>
    <row r="220" spans="3:9" x14ac:dyDescent="0.2">
      <c r="C220" s="14">
        <f t="shared" si="10"/>
        <v>44091</v>
      </c>
      <c r="D220" s="21">
        <v>0.7</v>
      </c>
      <c r="E220" s="21">
        <v>0</v>
      </c>
      <c r="F220" s="21">
        <v>0.8</v>
      </c>
      <c r="G220" s="21">
        <v>0.2</v>
      </c>
      <c r="H220" s="21">
        <v>0.5</v>
      </c>
      <c r="I220" s="22">
        <f t="shared" si="9"/>
        <v>0</v>
      </c>
    </row>
    <row r="221" spans="3:9" x14ac:dyDescent="0.2">
      <c r="C221" s="14">
        <f t="shared" si="10"/>
        <v>44092</v>
      </c>
      <c r="D221" s="21">
        <v>0.8</v>
      </c>
      <c r="E221" s="21">
        <v>0.3</v>
      </c>
      <c r="F221" s="21">
        <v>1.2</v>
      </c>
      <c r="G221" s="21">
        <v>0.2</v>
      </c>
      <c r="H221" s="21">
        <v>0.6</v>
      </c>
      <c r="I221" s="22">
        <f t="shared" si="9"/>
        <v>1</v>
      </c>
    </row>
    <row r="222" spans="3:9" x14ac:dyDescent="0.2">
      <c r="C222" s="14">
        <f t="shared" si="10"/>
        <v>44093</v>
      </c>
      <c r="D222" s="21">
        <v>1.3</v>
      </c>
      <c r="E222" s="21">
        <v>0.5</v>
      </c>
      <c r="F222" s="21">
        <v>2</v>
      </c>
      <c r="G222" s="21">
        <v>1.1000000000000001</v>
      </c>
      <c r="H222" s="21">
        <v>0.9</v>
      </c>
      <c r="I222" s="22">
        <f t="shared" si="9"/>
        <v>1</v>
      </c>
    </row>
    <row r="223" spans="3:9" x14ac:dyDescent="0.2">
      <c r="C223" s="14">
        <f t="shared" si="10"/>
        <v>44094</v>
      </c>
      <c r="D223" s="21">
        <v>0.4</v>
      </c>
      <c r="E223" s="21">
        <v>0.1</v>
      </c>
      <c r="F223" s="21">
        <v>1.2</v>
      </c>
      <c r="G223" s="21">
        <v>0.4</v>
      </c>
      <c r="H223" s="21">
        <v>0</v>
      </c>
      <c r="I223" s="22">
        <f t="shared" si="9"/>
        <v>0</v>
      </c>
    </row>
    <row r="224" spans="3:9" x14ac:dyDescent="0.2">
      <c r="C224" s="14">
        <f t="shared" si="10"/>
        <v>44095</v>
      </c>
      <c r="D224" s="21">
        <v>0.2</v>
      </c>
      <c r="E224" s="21">
        <v>0</v>
      </c>
      <c r="F224" s="21">
        <v>0.6</v>
      </c>
      <c r="G224" s="21">
        <v>0</v>
      </c>
      <c r="H224" s="21">
        <v>0</v>
      </c>
      <c r="I224" s="22">
        <f t="shared" si="9"/>
        <v>0</v>
      </c>
    </row>
    <row r="225" spans="3:9" x14ac:dyDescent="0.2">
      <c r="C225" s="14">
        <f t="shared" si="10"/>
        <v>44096</v>
      </c>
      <c r="D225" s="21">
        <v>1.3</v>
      </c>
      <c r="E225" s="21">
        <v>0.2</v>
      </c>
      <c r="F225" s="21">
        <v>2.2999999999999998</v>
      </c>
      <c r="G225" s="21">
        <v>0.7</v>
      </c>
      <c r="H225" s="21">
        <v>1.1000000000000001</v>
      </c>
      <c r="I225" s="22">
        <f t="shared" si="9"/>
        <v>1</v>
      </c>
    </row>
    <row r="226" spans="3:9" x14ac:dyDescent="0.2">
      <c r="C226" s="14">
        <f t="shared" si="10"/>
        <v>44097</v>
      </c>
      <c r="D226" s="21">
        <v>2.4</v>
      </c>
      <c r="E226" s="21">
        <v>1</v>
      </c>
      <c r="F226" s="21">
        <v>3.9</v>
      </c>
      <c r="G226" s="21">
        <v>1.5</v>
      </c>
      <c r="H226" s="21">
        <v>2.2000000000000002</v>
      </c>
      <c r="I226" s="22">
        <f t="shared" si="9"/>
        <v>2</v>
      </c>
    </row>
    <row r="227" spans="3:9" x14ac:dyDescent="0.2">
      <c r="C227" s="14">
        <f t="shared" si="10"/>
        <v>44098</v>
      </c>
      <c r="D227" s="21">
        <v>1.4</v>
      </c>
      <c r="E227" s="21">
        <v>1</v>
      </c>
      <c r="F227" s="21">
        <v>2.2000000000000002</v>
      </c>
      <c r="G227" s="21">
        <v>1.3</v>
      </c>
      <c r="H227" s="21">
        <v>1.1000000000000001</v>
      </c>
      <c r="I227" s="22">
        <f t="shared" ref="I227:I290" si="11">IFERROR(ROUND((D227*D$29)+(E227*E$29)+(F227*F$29)+(G227*G$29)+(H227*H$29),0),0)</f>
        <v>1</v>
      </c>
    </row>
    <row r="228" spans="3:9" x14ac:dyDescent="0.2">
      <c r="C228" s="14">
        <f t="shared" si="10"/>
        <v>44099</v>
      </c>
      <c r="D228" s="21">
        <v>0.7</v>
      </c>
      <c r="E228" s="21">
        <v>0</v>
      </c>
      <c r="F228" s="21">
        <v>0.5</v>
      </c>
      <c r="G228" s="21">
        <v>0</v>
      </c>
      <c r="H228" s="21">
        <v>0.7</v>
      </c>
      <c r="I228" s="22">
        <f t="shared" si="11"/>
        <v>0</v>
      </c>
    </row>
    <row r="229" spans="3:9" x14ac:dyDescent="0.2">
      <c r="C229" s="14">
        <f t="shared" ref="C229:C292" si="12">C228+1</f>
        <v>44100</v>
      </c>
      <c r="D229" s="21">
        <v>0.5</v>
      </c>
      <c r="E229" s="21">
        <v>0.1</v>
      </c>
      <c r="F229" s="21">
        <v>0.5</v>
      </c>
      <c r="G229" s="21">
        <v>0.1</v>
      </c>
      <c r="H229" s="21">
        <v>0.7</v>
      </c>
      <c r="I229" s="22">
        <f t="shared" si="11"/>
        <v>0</v>
      </c>
    </row>
    <row r="230" spans="3:9" x14ac:dyDescent="0.2">
      <c r="C230" s="14">
        <f t="shared" si="12"/>
        <v>44101</v>
      </c>
      <c r="D230" s="21">
        <v>1.1000000000000001</v>
      </c>
      <c r="E230" s="21">
        <v>0.3</v>
      </c>
      <c r="F230" s="21">
        <v>1.3</v>
      </c>
      <c r="G230" s="21">
        <v>0.6</v>
      </c>
      <c r="H230" s="21">
        <v>1.1000000000000001</v>
      </c>
      <c r="I230" s="22">
        <f t="shared" si="11"/>
        <v>1</v>
      </c>
    </row>
    <row r="231" spans="3:9" x14ac:dyDescent="0.2">
      <c r="C231" s="14">
        <f t="shared" si="12"/>
        <v>44102</v>
      </c>
      <c r="D231" s="21">
        <v>1.3</v>
      </c>
      <c r="E231" s="21">
        <v>0.2</v>
      </c>
      <c r="F231" s="21">
        <v>1.1000000000000001</v>
      </c>
      <c r="G231" s="21">
        <v>0.9</v>
      </c>
      <c r="H231" s="21">
        <v>0.7</v>
      </c>
      <c r="I231" s="22">
        <f t="shared" si="11"/>
        <v>1</v>
      </c>
    </row>
    <row r="232" spans="3:9" x14ac:dyDescent="0.2">
      <c r="C232" s="14">
        <f t="shared" si="12"/>
        <v>44103</v>
      </c>
      <c r="D232" s="21">
        <v>1.3</v>
      </c>
      <c r="E232" s="21">
        <v>1.2</v>
      </c>
      <c r="F232" s="21">
        <v>2.6</v>
      </c>
      <c r="G232" s="21">
        <v>1.3</v>
      </c>
      <c r="H232" s="21">
        <v>1.4</v>
      </c>
      <c r="I232" s="22">
        <f t="shared" si="11"/>
        <v>1</v>
      </c>
    </row>
    <row r="233" spans="3:9" x14ac:dyDescent="0.2">
      <c r="C233" s="14">
        <f t="shared" si="12"/>
        <v>44104</v>
      </c>
      <c r="D233" s="21">
        <v>1.3</v>
      </c>
      <c r="E233" s="21">
        <v>1.3</v>
      </c>
      <c r="F233" s="21">
        <v>3.1</v>
      </c>
      <c r="G233" s="21">
        <v>1.5</v>
      </c>
      <c r="H233" s="21">
        <v>0.8</v>
      </c>
      <c r="I233" s="22">
        <f t="shared" si="11"/>
        <v>1</v>
      </c>
    </row>
    <row r="234" spans="3:9" x14ac:dyDescent="0.2">
      <c r="C234" s="14">
        <f t="shared" si="12"/>
        <v>44105</v>
      </c>
      <c r="D234" s="21">
        <v>2.8</v>
      </c>
      <c r="E234" s="21">
        <v>1.9</v>
      </c>
      <c r="F234" s="21">
        <v>4.4000000000000004</v>
      </c>
      <c r="G234" s="21">
        <v>2.2000000000000002</v>
      </c>
      <c r="H234" s="21">
        <v>2.2999999999999998</v>
      </c>
      <c r="I234" s="22">
        <f t="shared" si="11"/>
        <v>3</v>
      </c>
    </row>
    <row r="235" spans="3:9" x14ac:dyDescent="0.2">
      <c r="C235" s="14">
        <f t="shared" si="12"/>
        <v>44106</v>
      </c>
      <c r="D235" s="21">
        <v>3.6</v>
      </c>
      <c r="E235" s="21">
        <v>3.2</v>
      </c>
      <c r="F235" s="21">
        <v>4.4000000000000004</v>
      </c>
      <c r="G235" s="21">
        <v>2.9</v>
      </c>
      <c r="H235" s="21">
        <v>3.1</v>
      </c>
      <c r="I235" s="22">
        <f t="shared" si="11"/>
        <v>3</v>
      </c>
    </row>
    <row r="236" spans="3:9" x14ac:dyDescent="0.2">
      <c r="C236" s="14">
        <f t="shared" si="12"/>
        <v>44107</v>
      </c>
      <c r="D236" s="21">
        <v>3.5</v>
      </c>
      <c r="E236" s="21">
        <v>2.9</v>
      </c>
      <c r="F236" s="21">
        <v>4.3</v>
      </c>
      <c r="G236" s="21">
        <v>2.6</v>
      </c>
      <c r="H236" s="21">
        <v>3.5</v>
      </c>
      <c r="I236" s="22">
        <f t="shared" si="11"/>
        <v>3</v>
      </c>
    </row>
    <row r="237" spans="3:9" x14ac:dyDescent="0.2">
      <c r="C237" s="14">
        <f t="shared" si="12"/>
        <v>44108</v>
      </c>
      <c r="D237" s="21">
        <v>3.3</v>
      </c>
      <c r="E237" s="21">
        <v>2</v>
      </c>
      <c r="F237" s="21">
        <v>3.2</v>
      </c>
      <c r="G237" s="21">
        <v>2.2000000000000002</v>
      </c>
      <c r="H237" s="21">
        <v>3.9</v>
      </c>
      <c r="I237" s="22">
        <f t="shared" si="11"/>
        <v>3</v>
      </c>
    </row>
    <row r="238" spans="3:9" x14ac:dyDescent="0.2">
      <c r="C238" s="14">
        <f t="shared" si="12"/>
        <v>44109</v>
      </c>
      <c r="D238" s="21">
        <v>3.4</v>
      </c>
      <c r="E238" s="21">
        <v>1.6</v>
      </c>
      <c r="F238" s="21">
        <v>3.3</v>
      </c>
      <c r="G238" s="21">
        <v>2.6</v>
      </c>
      <c r="H238" s="21">
        <v>3.2</v>
      </c>
      <c r="I238" s="22">
        <f t="shared" si="11"/>
        <v>3</v>
      </c>
    </row>
    <row r="239" spans="3:9" x14ac:dyDescent="0.2">
      <c r="C239" s="14">
        <f t="shared" si="12"/>
        <v>44110</v>
      </c>
      <c r="D239" s="21">
        <v>3.5</v>
      </c>
      <c r="E239" s="21">
        <v>1.4</v>
      </c>
      <c r="F239" s="21">
        <v>3.4</v>
      </c>
      <c r="G239" s="21">
        <v>2.6</v>
      </c>
      <c r="H239" s="21">
        <v>3</v>
      </c>
      <c r="I239" s="22">
        <f t="shared" si="11"/>
        <v>3</v>
      </c>
    </row>
    <row r="240" spans="3:9" x14ac:dyDescent="0.2">
      <c r="C240" s="14">
        <f t="shared" si="12"/>
        <v>44111</v>
      </c>
      <c r="D240" s="21">
        <v>3</v>
      </c>
      <c r="E240" s="21">
        <v>2.1</v>
      </c>
      <c r="F240" s="21">
        <v>3.9</v>
      </c>
      <c r="G240" s="21">
        <v>2.7</v>
      </c>
      <c r="H240" s="21">
        <v>2.6</v>
      </c>
      <c r="I240" s="22">
        <f t="shared" si="11"/>
        <v>3</v>
      </c>
    </row>
    <row r="241" spans="3:9" x14ac:dyDescent="0.2">
      <c r="C241" s="14">
        <f t="shared" si="12"/>
        <v>44112</v>
      </c>
      <c r="D241" s="21">
        <v>3.4</v>
      </c>
      <c r="E241" s="21">
        <v>1.8</v>
      </c>
      <c r="F241" s="21">
        <v>3.8</v>
      </c>
      <c r="G241" s="21">
        <v>2.6</v>
      </c>
      <c r="H241" s="21">
        <v>3.3</v>
      </c>
      <c r="I241" s="22">
        <f t="shared" si="11"/>
        <v>3</v>
      </c>
    </row>
    <row r="242" spans="3:9" x14ac:dyDescent="0.2">
      <c r="C242" s="14">
        <f t="shared" si="12"/>
        <v>44113</v>
      </c>
      <c r="D242" s="21">
        <v>2.8</v>
      </c>
      <c r="E242" s="21">
        <v>1.7</v>
      </c>
      <c r="F242" s="21">
        <v>4.0999999999999996</v>
      </c>
      <c r="G242" s="21">
        <v>2.7</v>
      </c>
      <c r="H242" s="21">
        <v>2.6</v>
      </c>
      <c r="I242" s="22">
        <f t="shared" si="11"/>
        <v>3</v>
      </c>
    </row>
    <row r="243" spans="3:9" x14ac:dyDescent="0.2">
      <c r="C243" s="14">
        <f t="shared" si="12"/>
        <v>44114</v>
      </c>
      <c r="D243" s="21">
        <v>3.4</v>
      </c>
      <c r="E243" s="21">
        <v>1.6</v>
      </c>
      <c r="F243" s="21">
        <v>3.9</v>
      </c>
      <c r="G243" s="21">
        <v>2.9</v>
      </c>
      <c r="H243" s="21">
        <v>3.3</v>
      </c>
      <c r="I243" s="22">
        <f t="shared" si="11"/>
        <v>3</v>
      </c>
    </row>
    <row r="244" spans="3:9" x14ac:dyDescent="0.2">
      <c r="C244" s="14">
        <f t="shared" si="12"/>
        <v>44115</v>
      </c>
      <c r="D244" s="21">
        <v>5.7</v>
      </c>
      <c r="E244" s="21">
        <v>2.2999999999999998</v>
      </c>
      <c r="F244" s="21">
        <v>4.5999999999999996</v>
      </c>
      <c r="G244" s="21">
        <v>3.5</v>
      </c>
      <c r="H244" s="21">
        <v>5.8</v>
      </c>
      <c r="I244" s="22">
        <f t="shared" si="11"/>
        <v>5</v>
      </c>
    </row>
    <row r="245" spans="3:9" x14ac:dyDescent="0.2">
      <c r="C245" s="14">
        <f t="shared" si="12"/>
        <v>44116</v>
      </c>
      <c r="D245" s="21">
        <v>5.5</v>
      </c>
      <c r="E245" s="21">
        <v>3.5</v>
      </c>
      <c r="F245" s="21">
        <v>5.2</v>
      </c>
      <c r="G245" s="21">
        <v>4.0999999999999996</v>
      </c>
      <c r="H245" s="21">
        <v>4.8</v>
      </c>
      <c r="I245" s="22">
        <f t="shared" si="11"/>
        <v>5</v>
      </c>
    </row>
    <row r="246" spans="3:9" x14ac:dyDescent="0.2">
      <c r="C246" s="14">
        <f t="shared" si="12"/>
        <v>44117</v>
      </c>
      <c r="D246" s="21">
        <v>6.1</v>
      </c>
      <c r="E246" s="21">
        <v>2.6</v>
      </c>
      <c r="F246" s="21">
        <v>7.1</v>
      </c>
      <c r="G246" s="21">
        <v>4.3</v>
      </c>
      <c r="H246" s="21">
        <v>5</v>
      </c>
      <c r="I246" s="22">
        <f t="shared" si="11"/>
        <v>5</v>
      </c>
    </row>
    <row r="247" spans="3:9" x14ac:dyDescent="0.2">
      <c r="C247" s="14">
        <f t="shared" si="12"/>
        <v>44118</v>
      </c>
      <c r="D247" s="21">
        <v>5.3</v>
      </c>
      <c r="E247" s="21">
        <v>1.6</v>
      </c>
      <c r="F247" s="21">
        <v>4.4000000000000004</v>
      </c>
      <c r="G247" s="21">
        <v>3.1</v>
      </c>
      <c r="H247" s="21">
        <v>4.5999999999999996</v>
      </c>
      <c r="I247" s="22">
        <f t="shared" si="11"/>
        <v>4</v>
      </c>
    </row>
    <row r="248" spans="3:9" x14ac:dyDescent="0.2">
      <c r="C248" s="14">
        <f t="shared" si="12"/>
        <v>44119</v>
      </c>
      <c r="D248" s="21">
        <v>6.4</v>
      </c>
      <c r="E248" s="21">
        <v>2.6</v>
      </c>
      <c r="F248" s="21">
        <v>6.2</v>
      </c>
      <c r="G248" s="21">
        <v>4.4000000000000004</v>
      </c>
      <c r="H248" s="21">
        <v>5.7</v>
      </c>
      <c r="I248" s="22">
        <f t="shared" si="11"/>
        <v>5</v>
      </c>
    </row>
    <row r="249" spans="3:9" x14ac:dyDescent="0.2">
      <c r="C249" s="14">
        <f t="shared" si="12"/>
        <v>44120</v>
      </c>
      <c r="D249" s="21">
        <v>9.5</v>
      </c>
      <c r="E249" s="21">
        <v>6.7</v>
      </c>
      <c r="F249" s="21">
        <v>9.5</v>
      </c>
      <c r="G249" s="21">
        <v>7.4</v>
      </c>
      <c r="H249" s="21">
        <v>8.9</v>
      </c>
      <c r="I249" s="22">
        <f t="shared" si="11"/>
        <v>9</v>
      </c>
    </row>
    <row r="250" spans="3:9" x14ac:dyDescent="0.2">
      <c r="C250" s="14">
        <f t="shared" si="12"/>
        <v>44121</v>
      </c>
      <c r="D250" s="21">
        <v>9.4</v>
      </c>
      <c r="E250" s="21">
        <v>6.5</v>
      </c>
      <c r="F250" s="21">
        <v>10.3</v>
      </c>
      <c r="G250" s="21">
        <v>7.7</v>
      </c>
      <c r="H250" s="21">
        <v>8.1</v>
      </c>
      <c r="I250" s="22">
        <f t="shared" si="11"/>
        <v>8</v>
      </c>
    </row>
    <row r="251" spans="3:9" x14ac:dyDescent="0.2">
      <c r="C251" s="14">
        <f t="shared" si="12"/>
        <v>44122</v>
      </c>
      <c r="D251" s="21">
        <v>10.7</v>
      </c>
      <c r="E251" s="21">
        <v>7.2</v>
      </c>
      <c r="F251" s="21">
        <v>11.1</v>
      </c>
      <c r="G251" s="21">
        <v>9.1</v>
      </c>
      <c r="H251" s="21">
        <v>10.1</v>
      </c>
      <c r="I251" s="22">
        <f t="shared" si="11"/>
        <v>10</v>
      </c>
    </row>
    <row r="252" spans="3:9" x14ac:dyDescent="0.2">
      <c r="C252" s="14">
        <f t="shared" si="12"/>
        <v>44123</v>
      </c>
      <c r="D252" s="21">
        <v>11.4</v>
      </c>
      <c r="E252" s="21">
        <v>8.5</v>
      </c>
      <c r="F252" s="21">
        <v>10.7</v>
      </c>
      <c r="G252" s="21">
        <v>9.5</v>
      </c>
      <c r="H252" s="21">
        <v>10.4</v>
      </c>
      <c r="I252" s="22">
        <f t="shared" si="11"/>
        <v>10</v>
      </c>
    </row>
    <row r="253" spans="3:9" x14ac:dyDescent="0.2">
      <c r="C253" s="14">
        <f t="shared" si="12"/>
        <v>44124</v>
      </c>
      <c r="D253" s="21">
        <v>8.5</v>
      </c>
      <c r="E253" s="21">
        <v>6.7</v>
      </c>
      <c r="F253" s="21">
        <v>9.4</v>
      </c>
      <c r="G253" s="21">
        <v>7.4</v>
      </c>
      <c r="H253" s="21">
        <v>7</v>
      </c>
      <c r="I253" s="22">
        <f t="shared" si="11"/>
        <v>8</v>
      </c>
    </row>
    <row r="254" spans="3:9" x14ac:dyDescent="0.2">
      <c r="C254" s="14">
        <f t="shared" si="12"/>
        <v>44125</v>
      </c>
      <c r="D254" s="21">
        <v>8.1999999999999993</v>
      </c>
      <c r="E254" s="21">
        <v>6.4</v>
      </c>
      <c r="F254" s="21">
        <v>9.3000000000000007</v>
      </c>
      <c r="G254" s="21">
        <v>7.3</v>
      </c>
      <c r="H254" s="21">
        <v>7.4</v>
      </c>
      <c r="I254" s="22">
        <f t="shared" si="11"/>
        <v>8</v>
      </c>
    </row>
    <row r="255" spans="3:9" x14ac:dyDescent="0.2">
      <c r="C255" s="14">
        <f t="shared" si="12"/>
        <v>44126</v>
      </c>
      <c r="D255" s="21">
        <v>8.6</v>
      </c>
      <c r="E255" s="21">
        <v>6.7</v>
      </c>
      <c r="F255" s="21">
        <v>8.9</v>
      </c>
      <c r="G255" s="21">
        <v>7.3</v>
      </c>
      <c r="H255" s="21">
        <v>8</v>
      </c>
      <c r="I255" s="22">
        <f t="shared" si="11"/>
        <v>8</v>
      </c>
    </row>
    <row r="256" spans="3:9" x14ac:dyDescent="0.2">
      <c r="C256" s="14">
        <f t="shared" si="12"/>
        <v>44127</v>
      </c>
      <c r="D256" s="21">
        <v>7.9</v>
      </c>
      <c r="E256" s="21">
        <v>6.6</v>
      </c>
      <c r="F256" s="21">
        <v>8.4</v>
      </c>
      <c r="G256" s="21">
        <v>7.1</v>
      </c>
      <c r="H256" s="21">
        <v>6.9</v>
      </c>
      <c r="I256" s="22">
        <f t="shared" si="11"/>
        <v>7</v>
      </c>
    </row>
    <row r="257" spans="3:9" x14ac:dyDescent="0.2">
      <c r="C257" s="14">
        <f t="shared" si="12"/>
        <v>44128</v>
      </c>
      <c r="D257" s="21">
        <v>10.1</v>
      </c>
      <c r="E257" s="21">
        <v>7.5</v>
      </c>
      <c r="F257" s="21">
        <v>10.3</v>
      </c>
      <c r="G257" s="21">
        <v>8.6999999999999993</v>
      </c>
      <c r="H257" s="21">
        <v>9.4</v>
      </c>
      <c r="I257" s="22">
        <f t="shared" si="11"/>
        <v>9</v>
      </c>
    </row>
    <row r="258" spans="3:9" x14ac:dyDescent="0.2">
      <c r="C258" s="14">
        <f t="shared" si="12"/>
        <v>44129</v>
      </c>
      <c r="D258" s="21">
        <v>10.6</v>
      </c>
      <c r="E258" s="21">
        <v>7.6</v>
      </c>
      <c r="F258" s="21">
        <v>12.8</v>
      </c>
      <c r="G258" s="21">
        <v>9.6999999999999993</v>
      </c>
      <c r="H258" s="21">
        <v>9.8000000000000007</v>
      </c>
      <c r="I258" s="22">
        <f t="shared" si="11"/>
        <v>10</v>
      </c>
    </row>
    <row r="259" spans="3:9" x14ac:dyDescent="0.2">
      <c r="C259" s="14">
        <f t="shared" si="12"/>
        <v>44130</v>
      </c>
      <c r="D259" s="21">
        <v>10.199999999999999</v>
      </c>
      <c r="E259" s="21">
        <v>6.4</v>
      </c>
      <c r="F259" s="21">
        <v>10.6</v>
      </c>
      <c r="G259" s="21">
        <v>8.1999999999999993</v>
      </c>
      <c r="H259" s="21">
        <v>7.8</v>
      </c>
      <c r="I259" s="22">
        <f t="shared" si="11"/>
        <v>8</v>
      </c>
    </row>
    <row r="260" spans="3:9" x14ac:dyDescent="0.2">
      <c r="C260" s="14">
        <f t="shared" si="12"/>
        <v>44131</v>
      </c>
      <c r="D260" s="21">
        <v>12.4</v>
      </c>
      <c r="E260" s="21">
        <v>7.4</v>
      </c>
      <c r="F260" s="21">
        <v>11.4</v>
      </c>
      <c r="G260" s="21">
        <v>9.9</v>
      </c>
      <c r="H260" s="21">
        <v>11.2</v>
      </c>
      <c r="I260" s="22">
        <f t="shared" si="11"/>
        <v>11</v>
      </c>
    </row>
    <row r="261" spans="3:9" x14ac:dyDescent="0.2">
      <c r="C261" s="14">
        <f t="shared" si="12"/>
        <v>44132</v>
      </c>
      <c r="D261" s="21">
        <v>13.1</v>
      </c>
      <c r="E261" s="21">
        <v>8</v>
      </c>
      <c r="F261" s="21">
        <v>12.3</v>
      </c>
      <c r="G261" s="21">
        <v>10.8</v>
      </c>
      <c r="H261" s="21">
        <v>11.3</v>
      </c>
      <c r="I261" s="22">
        <f t="shared" si="11"/>
        <v>11</v>
      </c>
    </row>
    <row r="262" spans="3:9" x14ac:dyDescent="0.2">
      <c r="C262" s="14">
        <f t="shared" si="12"/>
        <v>44133</v>
      </c>
      <c r="D262" s="21">
        <v>14.6</v>
      </c>
      <c r="E262" s="21">
        <v>10.6</v>
      </c>
      <c r="F262" s="21">
        <v>15.3</v>
      </c>
      <c r="G262" s="21">
        <v>13.2</v>
      </c>
      <c r="H262" s="21">
        <v>13.5</v>
      </c>
      <c r="I262" s="22">
        <f t="shared" si="11"/>
        <v>13</v>
      </c>
    </row>
    <row r="263" spans="3:9" x14ac:dyDescent="0.2">
      <c r="C263" s="14">
        <f t="shared" si="12"/>
        <v>44134</v>
      </c>
      <c r="D263" s="21">
        <v>12.9</v>
      </c>
      <c r="E263" s="21">
        <v>9.5</v>
      </c>
      <c r="F263" s="21">
        <v>14.8</v>
      </c>
      <c r="G263" s="21">
        <v>12.1</v>
      </c>
      <c r="H263" s="21">
        <v>11.5</v>
      </c>
      <c r="I263" s="22">
        <f t="shared" si="11"/>
        <v>12</v>
      </c>
    </row>
    <row r="264" spans="3:9" x14ac:dyDescent="0.2">
      <c r="C264" s="14">
        <f t="shared" si="12"/>
        <v>44135</v>
      </c>
      <c r="D264" s="21">
        <v>14.4</v>
      </c>
      <c r="E264" s="21">
        <v>9.6999999999999993</v>
      </c>
      <c r="F264" s="21">
        <v>13.2</v>
      </c>
      <c r="G264" s="21">
        <v>11.6</v>
      </c>
      <c r="H264" s="21">
        <v>12.9</v>
      </c>
      <c r="I264" s="22">
        <f t="shared" si="11"/>
        <v>12</v>
      </c>
    </row>
    <row r="265" spans="3:9" x14ac:dyDescent="0.2">
      <c r="C265" s="14">
        <f t="shared" si="12"/>
        <v>44136</v>
      </c>
      <c r="D265" s="21">
        <v>15.8</v>
      </c>
      <c r="E265" s="21">
        <v>11.1</v>
      </c>
      <c r="F265" s="21">
        <v>15.1</v>
      </c>
      <c r="G265" s="21">
        <v>12.6</v>
      </c>
      <c r="H265" s="21">
        <v>14.1</v>
      </c>
      <c r="I265" s="22">
        <f t="shared" si="11"/>
        <v>14</v>
      </c>
    </row>
    <row r="266" spans="3:9" x14ac:dyDescent="0.2">
      <c r="C266" s="14">
        <f t="shared" si="12"/>
        <v>44137</v>
      </c>
      <c r="D266" s="21">
        <v>14.2</v>
      </c>
      <c r="E266" s="21">
        <v>11.1</v>
      </c>
      <c r="F266" s="21">
        <v>15.4</v>
      </c>
      <c r="G266" s="21">
        <v>12.7</v>
      </c>
      <c r="H266" s="21">
        <v>12.6</v>
      </c>
      <c r="I266" s="22">
        <f t="shared" si="11"/>
        <v>13</v>
      </c>
    </row>
    <row r="267" spans="3:9" x14ac:dyDescent="0.2">
      <c r="C267" s="14">
        <f t="shared" si="12"/>
        <v>44138</v>
      </c>
      <c r="D267" s="21">
        <v>12.5</v>
      </c>
      <c r="E267" s="21">
        <v>9.6999999999999993</v>
      </c>
      <c r="F267" s="21">
        <v>14.1</v>
      </c>
      <c r="G267" s="21">
        <v>11.2</v>
      </c>
      <c r="H267" s="21">
        <v>10.3</v>
      </c>
      <c r="I267" s="22">
        <f t="shared" si="11"/>
        <v>11</v>
      </c>
    </row>
    <row r="268" spans="3:9" x14ac:dyDescent="0.2">
      <c r="C268" s="14">
        <f t="shared" si="12"/>
        <v>44139</v>
      </c>
      <c r="D268" s="21">
        <v>10.5</v>
      </c>
      <c r="E268" s="21">
        <v>8.8000000000000007</v>
      </c>
      <c r="F268" s="21">
        <v>11.2</v>
      </c>
      <c r="G268" s="21">
        <v>8.9</v>
      </c>
      <c r="H268" s="21">
        <v>9.6</v>
      </c>
      <c r="I268" s="22">
        <f t="shared" si="11"/>
        <v>10</v>
      </c>
    </row>
    <row r="269" spans="3:9" x14ac:dyDescent="0.2">
      <c r="C269" s="14">
        <f t="shared" si="12"/>
        <v>44140</v>
      </c>
      <c r="D269" s="21">
        <v>11.2</v>
      </c>
      <c r="E269" s="21">
        <v>7.7</v>
      </c>
      <c r="F269" s="21">
        <v>12.1</v>
      </c>
      <c r="G269" s="21">
        <v>9.9</v>
      </c>
      <c r="H269" s="21">
        <v>10.7</v>
      </c>
      <c r="I269" s="22">
        <f t="shared" si="11"/>
        <v>10</v>
      </c>
    </row>
    <row r="270" spans="3:9" x14ac:dyDescent="0.2">
      <c r="C270" s="14">
        <f t="shared" si="12"/>
        <v>44141</v>
      </c>
      <c r="D270" s="21">
        <v>13.4</v>
      </c>
      <c r="E270" s="21">
        <v>7.1</v>
      </c>
      <c r="F270" s="21">
        <v>11.4</v>
      </c>
      <c r="G270" s="21">
        <v>9.6</v>
      </c>
      <c r="H270" s="21">
        <v>12.1</v>
      </c>
      <c r="I270" s="22">
        <f t="shared" si="11"/>
        <v>11</v>
      </c>
    </row>
    <row r="271" spans="3:9" x14ac:dyDescent="0.2">
      <c r="C271" s="14">
        <f t="shared" si="12"/>
        <v>44142</v>
      </c>
      <c r="D271" s="21">
        <v>15.5</v>
      </c>
      <c r="E271" s="21">
        <v>11.6</v>
      </c>
      <c r="F271" s="21">
        <v>16.399999999999999</v>
      </c>
      <c r="G271" s="21">
        <v>13.4</v>
      </c>
      <c r="H271" s="21">
        <v>13.8</v>
      </c>
      <c r="I271" s="22">
        <f t="shared" si="11"/>
        <v>14</v>
      </c>
    </row>
    <row r="272" spans="3:9" x14ac:dyDescent="0.2">
      <c r="C272" s="14">
        <f t="shared" si="12"/>
        <v>44143</v>
      </c>
      <c r="D272" s="21">
        <v>16.8</v>
      </c>
      <c r="E272" s="21">
        <v>13.3</v>
      </c>
      <c r="F272" s="21">
        <v>18</v>
      </c>
      <c r="G272" s="21">
        <v>15.7</v>
      </c>
      <c r="H272" s="21">
        <v>15.1</v>
      </c>
      <c r="I272" s="22">
        <f t="shared" si="11"/>
        <v>16</v>
      </c>
    </row>
    <row r="273" spans="3:9" x14ac:dyDescent="0.2">
      <c r="C273" s="14">
        <f t="shared" si="12"/>
        <v>44144</v>
      </c>
      <c r="D273" s="21">
        <v>17.2</v>
      </c>
      <c r="E273" s="21">
        <v>14</v>
      </c>
      <c r="F273" s="21">
        <v>18.2</v>
      </c>
      <c r="G273" s="21">
        <v>16.100000000000001</v>
      </c>
      <c r="H273" s="21">
        <v>16.100000000000001</v>
      </c>
      <c r="I273" s="22">
        <f t="shared" si="11"/>
        <v>16</v>
      </c>
    </row>
    <row r="274" spans="3:9" x14ac:dyDescent="0.2">
      <c r="C274" s="14">
        <f t="shared" si="12"/>
        <v>44145</v>
      </c>
      <c r="D274" s="21">
        <v>17.2</v>
      </c>
      <c r="E274" s="21">
        <v>14.1</v>
      </c>
      <c r="F274" s="21">
        <v>17.8</v>
      </c>
      <c r="G274" s="21">
        <v>15.3</v>
      </c>
      <c r="H274" s="21">
        <v>15.4</v>
      </c>
      <c r="I274" s="22">
        <f t="shared" si="11"/>
        <v>16</v>
      </c>
    </row>
    <row r="275" spans="3:9" x14ac:dyDescent="0.2">
      <c r="C275" s="14">
        <f t="shared" si="12"/>
        <v>44146</v>
      </c>
      <c r="D275" s="21">
        <v>18.7</v>
      </c>
      <c r="E275" s="21">
        <v>13.9</v>
      </c>
      <c r="F275" s="21">
        <v>17.7</v>
      </c>
      <c r="G275" s="21">
        <v>15.8</v>
      </c>
      <c r="H275" s="21">
        <v>16.7</v>
      </c>
      <c r="I275" s="22">
        <f t="shared" si="11"/>
        <v>17</v>
      </c>
    </row>
    <row r="276" spans="3:9" x14ac:dyDescent="0.2">
      <c r="C276" s="14">
        <f t="shared" si="12"/>
        <v>44147</v>
      </c>
      <c r="D276" s="21">
        <v>23.2</v>
      </c>
      <c r="E276" s="21">
        <v>18.7</v>
      </c>
      <c r="F276" s="21">
        <v>22.7</v>
      </c>
      <c r="G276" s="21">
        <v>20.399999999999999</v>
      </c>
      <c r="H276" s="21">
        <v>22.2</v>
      </c>
      <c r="I276" s="22">
        <f t="shared" si="11"/>
        <v>22</v>
      </c>
    </row>
    <row r="277" spans="3:9" x14ac:dyDescent="0.2">
      <c r="C277" s="14">
        <f t="shared" si="12"/>
        <v>44148</v>
      </c>
      <c r="D277" s="21">
        <v>25.9</v>
      </c>
      <c r="E277" s="21">
        <v>20.7</v>
      </c>
      <c r="F277" s="21">
        <v>25.7</v>
      </c>
      <c r="G277" s="21">
        <v>23</v>
      </c>
      <c r="H277" s="21">
        <v>24.8</v>
      </c>
      <c r="I277" s="22">
        <f t="shared" si="11"/>
        <v>24</v>
      </c>
    </row>
    <row r="278" spans="3:9" x14ac:dyDescent="0.2">
      <c r="C278" s="14">
        <f t="shared" si="12"/>
        <v>44149</v>
      </c>
      <c r="D278" s="21">
        <v>22.5</v>
      </c>
      <c r="E278" s="21">
        <v>19</v>
      </c>
      <c r="F278" s="21">
        <v>23.9</v>
      </c>
      <c r="G278" s="21">
        <v>21</v>
      </c>
      <c r="H278" s="21">
        <v>21.4</v>
      </c>
      <c r="I278" s="22">
        <f t="shared" si="11"/>
        <v>21</v>
      </c>
    </row>
    <row r="279" spans="3:9" x14ac:dyDescent="0.2">
      <c r="C279" s="14">
        <f t="shared" si="12"/>
        <v>44150</v>
      </c>
      <c r="D279" s="21">
        <v>21.6</v>
      </c>
      <c r="E279" s="21">
        <v>17.7</v>
      </c>
      <c r="F279" s="21">
        <v>22</v>
      </c>
      <c r="G279" s="21">
        <v>19.5</v>
      </c>
      <c r="H279" s="21">
        <v>19.399999999999999</v>
      </c>
      <c r="I279" s="22">
        <f t="shared" si="11"/>
        <v>20</v>
      </c>
    </row>
    <row r="280" spans="3:9" x14ac:dyDescent="0.2">
      <c r="C280" s="14">
        <f t="shared" si="12"/>
        <v>44151</v>
      </c>
      <c r="D280" s="21">
        <v>20.9</v>
      </c>
      <c r="E280" s="21">
        <v>15.9</v>
      </c>
      <c r="F280" s="21">
        <v>21.1</v>
      </c>
      <c r="G280" s="21">
        <v>18.899999999999999</v>
      </c>
      <c r="H280" s="21">
        <v>18.100000000000001</v>
      </c>
      <c r="I280" s="22">
        <f t="shared" si="11"/>
        <v>19</v>
      </c>
    </row>
    <row r="281" spans="3:9" x14ac:dyDescent="0.2">
      <c r="C281" s="14">
        <f t="shared" si="12"/>
        <v>44152</v>
      </c>
      <c r="D281" s="21">
        <v>19.899999999999999</v>
      </c>
      <c r="E281" s="21">
        <v>15.1</v>
      </c>
      <c r="F281" s="21">
        <v>19.8</v>
      </c>
      <c r="G281" s="21">
        <v>18.8</v>
      </c>
      <c r="H281" s="21">
        <v>17</v>
      </c>
      <c r="I281" s="22">
        <f t="shared" si="11"/>
        <v>18</v>
      </c>
    </row>
    <row r="282" spans="3:9" x14ac:dyDescent="0.2">
      <c r="C282" s="14">
        <f t="shared" si="12"/>
        <v>44153</v>
      </c>
      <c r="D282" s="21">
        <v>19.8</v>
      </c>
      <c r="E282" s="21">
        <v>15.8</v>
      </c>
      <c r="F282" s="21">
        <v>19.3</v>
      </c>
      <c r="G282" s="21">
        <v>17.5</v>
      </c>
      <c r="H282" s="21">
        <v>18.399999999999999</v>
      </c>
      <c r="I282" s="22">
        <f t="shared" si="11"/>
        <v>18</v>
      </c>
    </row>
    <row r="283" spans="3:9" x14ac:dyDescent="0.2">
      <c r="C283" s="14">
        <f t="shared" si="12"/>
        <v>44154</v>
      </c>
      <c r="D283" s="21">
        <v>21.5</v>
      </c>
      <c r="E283" s="21">
        <v>15.9</v>
      </c>
      <c r="F283" s="21">
        <v>20.9</v>
      </c>
      <c r="G283" s="21">
        <v>19.3</v>
      </c>
      <c r="H283" s="21">
        <v>19.2</v>
      </c>
      <c r="I283" s="22">
        <f t="shared" si="11"/>
        <v>19</v>
      </c>
    </row>
    <row r="284" spans="3:9" x14ac:dyDescent="0.2">
      <c r="C284" s="14">
        <f t="shared" si="12"/>
        <v>44155</v>
      </c>
      <c r="D284" s="21">
        <v>22.3</v>
      </c>
      <c r="E284" s="21">
        <v>17.100000000000001</v>
      </c>
      <c r="F284" s="21">
        <v>22.5</v>
      </c>
      <c r="G284" s="21">
        <v>20.100000000000001</v>
      </c>
      <c r="H284" s="21">
        <v>20</v>
      </c>
      <c r="I284" s="22">
        <f t="shared" si="11"/>
        <v>20</v>
      </c>
    </row>
    <row r="285" spans="3:9" x14ac:dyDescent="0.2">
      <c r="C285" s="14">
        <f t="shared" si="12"/>
        <v>44156</v>
      </c>
      <c r="D285" s="21">
        <v>19.8</v>
      </c>
      <c r="E285" s="21">
        <v>14.5</v>
      </c>
      <c r="F285" s="21">
        <v>18.899999999999999</v>
      </c>
      <c r="G285" s="21">
        <v>17</v>
      </c>
      <c r="H285" s="21">
        <v>17.7</v>
      </c>
      <c r="I285" s="22">
        <f t="shared" si="11"/>
        <v>18</v>
      </c>
    </row>
    <row r="286" spans="3:9" x14ac:dyDescent="0.2">
      <c r="C286" s="14">
        <f t="shared" si="12"/>
        <v>44157</v>
      </c>
      <c r="D286" s="21">
        <v>20.7</v>
      </c>
      <c r="E286" s="21">
        <v>15.5</v>
      </c>
      <c r="F286" s="21">
        <v>20.3</v>
      </c>
      <c r="G286" s="21">
        <v>18.2</v>
      </c>
      <c r="H286" s="21">
        <v>18.399999999999999</v>
      </c>
      <c r="I286" s="22">
        <f t="shared" si="11"/>
        <v>19</v>
      </c>
    </row>
    <row r="287" spans="3:9" x14ac:dyDescent="0.2">
      <c r="C287" s="14">
        <f t="shared" si="12"/>
        <v>44158</v>
      </c>
      <c r="D287" s="21">
        <v>22.1</v>
      </c>
      <c r="E287" s="21">
        <v>18.399999999999999</v>
      </c>
      <c r="F287" s="21">
        <v>22.6</v>
      </c>
      <c r="G287" s="21">
        <v>20.2</v>
      </c>
      <c r="H287" s="21">
        <v>20.8</v>
      </c>
      <c r="I287" s="22">
        <f t="shared" si="11"/>
        <v>21</v>
      </c>
    </row>
    <row r="288" spans="3:9" x14ac:dyDescent="0.2">
      <c r="C288" s="14">
        <f t="shared" si="12"/>
        <v>44159</v>
      </c>
      <c r="D288" s="21">
        <v>21.8</v>
      </c>
      <c r="E288" s="21">
        <v>19.2</v>
      </c>
      <c r="F288" s="21">
        <v>22.4</v>
      </c>
      <c r="G288" s="21">
        <v>20.6</v>
      </c>
      <c r="H288" s="21">
        <v>21.5</v>
      </c>
      <c r="I288" s="22">
        <f t="shared" si="11"/>
        <v>21</v>
      </c>
    </row>
    <row r="289" spans="3:9" x14ac:dyDescent="0.2">
      <c r="C289" s="14">
        <f t="shared" si="12"/>
        <v>44160</v>
      </c>
      <c r="D289" s="21">
        <v>19</v>
      </c>
      <c r="E289" s="21">
        <v>16.100000000000001</v>
      </c>
      <c r="F289" s="21">
        <v>19.399999999999999</v>
      </c>
      <c r="G289" s="21">
        <v>17.600000000000001</v>
      </c>
      <c r="H289" s="21">
        <v>17.8</v>
      </c>
      <c r="I289" s="22">
        <f t="shared" si="11"/>
        <v>18</v>
      </c>
    </row>
    <row r="290" spans="3:9" x14ac:dyDescent="0.2">
      <c r="C290" s="14">
        <f t="shared" si="12"/>
        <v>44161</v>
      </c>
      <c r="D290" s="21">
        <v>20.3</v>
      </c>
      <c r="E290" s="21">
        <v>16.399999999999999</v>
      </c>
      <c r="F290" s="21">
        <v>20.399999999999999</v>
      </c>
      <c r="G290" s="21">
        <v>18.3</v>
      </c>
      <c r="H290" s="21">
        <v>19.2</v>
      </c>
      <c r="I290" s="22">
        <f t="shared" si="11"/>
        <v>19</v>
      </c>
    </row>
    <row r="291" spans="3:9" x14ac:dyDescent="0.2">
      <c r="C291" s="14">
        <f t="shared" si="12"/>
        <v>44162</v>
      </c>
      <c r="D291" s="21">
        <v>24.5</v>
      </c>
      <c r="E291" s="21">
        <v>20.9</v>
      </c>
      <c r="F291" s="21">
        <v>23.4</v>
      </c>
      <c r="G291" s="21">
        <v>20.9</v>
      </c>
      <c r="H291" s="21">
        <v>23.1</v>
      </c>
      <c r="I291" s="22">
        <f t="shared" ref="I291:I354" si="13">IFERROR(ROUND((D291*D$29)+(E291*E$29)+(F291*F$29)+(G291*G$29)+(H291*H$29),0),0)</f>
        <v>23</v>
      </c>
    </row>
    <row r="292" spans="3:9" x14ac:dyDescent="0.2">
      <c r="C292" s="14">
        <f t="shared" si="12"/>
        <v>44163</v>
      </c>
      <c r="D292" s="21">
        <v>25.1</v>
      </c>
      <c r="E292" s="21">
        <v>21.3</v>
      </c>
      <c r="F292" s="21">
        <v>24.3</v>
      </c>
      <c r="G292" s="21">
        <v>23.1</v>
      </c>
      <c r="H292" s="21">
        <v>23.8</v>
      </c>
      <c r="I292" s="22">
        <f t="shared" si="13"/>
        <v>24</v>
      </c>
    </row>
    <row r="293" spans="3:9" x14ac:dyDescent="0.2">
      <c r="C293" s="14">
        <f t="shared" ref="C293:C356" si="14">C292+1</f>
        <v>44164</v>
      </c>
      <c r="D293" s="21">
        <v>21.2</v>
      </c>
      <c r="E293" s="21">
        <v>17.7</v>
      </c>
      <c r="F293" s="21">
        <v>21.8</v>
      </c>
      <c r="G293" s="21">
        <v>20.100000000000001</v>
      </c>
      <c r="H293" s="21">
        <v>19.399999999999999</v>
      </c>
      <c r="I293" s="22">
        <f t="shared" si="13"/>
        <v>20</v>
      </c>
    </row>
    <row r="294" spans="3:9" x14ac:dyDescent="0.2">
      <c r="C294" s="14">
        <f t="shared" si="14"/>
        <v>44165</v>
      </c>
      <c r="D294" s="21">
        <v>18.8</v>
      </c>
      <c r="E294" s="21">
        <v>13.3</v>
      </c>
      <c r="F294" s="21">
        <v>18.2</v>
      </c>
      <c r="G294" s="21">
        <v>16</v>
      </c>
      <c r="H294" s="21">
        <v>17.3</v>
      </c>
      <c r="I294" s="22">
        <f t="shared" si="13"/>
        <v>17</v>
      </c>
    </row>
    <row r="295" spans="3:9" x14ac:dyDescent="0.2">
      <c r="C295" s="14">
        <f t="shared" si="14"/>
        <v>44166</v>
      </c>
      <c r="D295" s="21">
        <v>21.5</v>
      </c>
      <c r="E295" s="21">
        <v>15.8</v>
      </c>
      <c r="F295" s="21">
        <v>20.3</v>
      </c>
      <c r="G295" s="21">
        <v>17.399999999999999</v>
      </c>
      <c r="H295" s="21">
        <v>20.100000000000001</v>
      </c>
      <c r="I295" s="22">
        <f t="shared" si="13"/>
        <v>19</v>
      </c>
    </row>
    <row r="296" spans="3:9" x14ac:dyDescent="0.2">
      <c r="C296" s="14">
        <f t="shared" si="14"/>
        <v>44167</v>
      </c>
      <c r="D296" s="21">
        <v>22</v>
      </c>
      <c r="E296" s="21">
        <v>16.8</v>
      </c>
      <c r="F296" s="21">
        <v>22.2</v>
      </c>
      <c r="G296" s="21">
        <v>19.399999999999999</v>
      </c>
      <c r="H296" s="21">
        <v>21.2</v>
      </c>
      <c r="I296" s="22">
        <f t="shared" si="13"/>
        <v>20</v>
      </c>
    </row>
    <row r="297" spans="3:9" x14ac:dyDescent="0.2">
      <c r="C297" s="14">
        <f t="shared" si="14"/>
        <v>44168</v>
      </c>
      <c r="D297" s="21">
        <v>20.8</v>
      </c>
      <c r="E297" s="21">
        <v>17.600000000000001</v>
      </c>
      <c r="F297" s="21">
        <v>21.9</v>
      </c>
      <c r="G297" s="21">
        <v>19.5</v>
      </c>
      <c r="H297" s="21">
        <v>19.5</v>
      </c>
      <c r="I297" s="22">
        <f t="shared" si="13"/>
        <v>20</v>
      </c>
    </row>
    <row r="298" spans="3:9" x14ac:dyDescent="0.2">
      <c r="C298" s="14">
        <f t="shared" si="14"/>
        <v>44169</v>
      </c>
      <c r="D298" s="21">
        <v>19.3</v>
      </c>
      <c r="E298" s="21">
        <v>14.1</v>
      </c>
      <c r="F298" s="21">
        <v>19.3</v>
      </c>
      <c r="G298" s="21">
        <v>17</v>
      </c>
      <c r="H298" s="21">
        <v>17</v>
      </c>
      <c r="I298" s="22">
        <f t="shared" si="13"/>
        <v>17</v>
      </c>
    </row>
    <row r="299" spans="3:9" x14ac:dyDescent="0.2">
      <c r="C299" s="14">
        <f t="shared" si="14"/>
        <v>44170</v>
      </c>
      <c r="D299" s="21">
        <v>22.6</v>
      </c>
      <c r="E299" s="21">
        <v>16.7</v>
      </c>
      <c r="F299" s="21">
        <v>22</v>
      </c>
      <c r="G299" s="21">
        <v>20.100000000000001</v>
      </c>
      <c r="H299" s="21">
        <v>20.5</v>
      </c>
      <c r="I299" s="22">
        <f t="shared" si="13"/>
        <v>20</v>
      </c>
    </row>
    <row r="300" spans="3:9" x14ac:dyDescent="0.2">
      <c r="C300" s="14">
        <f t="shared" si="14"/>
        <v>44171</v>
      </c>
      <c r="D300" s="21">
        <v>25.6</v>
      </c>
      <c r="E300" s="21">
        <v>20.100000000000001</v>
      </c>
      <c r="F300" s="21">
        <v>24.7</v>
      </c>
      <c r="G300" s="21">
        <v>23.4</v>
      </c>
      <c r="H300" s="21">
        <v>23.2</v>
      </c>
      <c r="I300" s="22">
        <f t="shared" si="13"/>
        <v>23</v>
      </c>
    </row>
    <row r="301" spans="3:9" x14ac:dyDescent="0.2">
      <c r="C301" s="14">
        <f t="shared" si="14"/>
        <v>44172</v>
      </c>
      <c r="D301" s="21">
        <v>28.4</v>
      </c>
      <c r="E301" s="21">
        <v>22.2</v>
      </c>
      <c r="F301" s="21">
        <v>27.6</v>
      </c>
      <c r="G301" s="21">
        <v>26.7</v>
      </c>
      <c r="H301" s="21">
        <v>26.6</v>
      </c>
      <c r="I301" s="22">
        <f t="shared" si="13"/>
        <v>26</v>
      </c>
    </row>
    <row r="302" spans="3:9" x14ac:dyDescent="0.2">
      <c r="C302" s="14">
        <f t="shared" si="14"/>
        <v>44173</v>
      </c>
      <c r="D302" s="21">
        <v>27.8</v>
      </c>
      <c r="E302" s="21">
        <v>23.1</v>
      </c>
      <c r="F302" s="21">
        <v>28.6</v>
      </c>
      <c r="G302" s="21">
        <v>26.5</v>
      </c>
      <c r="H302" s="21">
        <v>26.7</v>
      </c>
      <c r="I302" s="22">
        <f t="shared" si="13"/>
        <v>26</v>
      </c>
    </row>
    <row r="303" spans="3:9" x14ac:dyDescent="0.2">
      <c r="C303" s="14">
        <f t="shared" si="14"/>
        <v>44174</v>
      </c>
      <c r="D303" s="21">
        <v>25.2</v>
      </c>
      <c r="E303" s="21">
        <v>21.2</v>
      </c>
      <c r="F303" s="21">
        <v>25.8</v>
      </c>
      <c r="G303" s="21">
        <v>23.2</v>
      </c>
      <c r="H303" s="21">
        <v>24.3</v>
      </c>
      <c r="I303" s="22">
        <f t="shared" si="13"/>
        <v>24</v>
      </c>
    </row>
    <row r="304" spans="3:9" x14ac:dyDescent="0.2">
      <c r="C304" s="14">
        <f t="shared" si="14"/>
        <v>44175</v>
      </c>
      <c r="D304" s="21">
        <v>30.2</v>
      </c>
      <c r="E304" s="21">
        <v>24.3</v>
      </c>
      <c r="F304" s="21">
        <v>29</v>
      </c>
      <c r="G304" s="21">
        <v>27.5</v>
      </c>
      <c r="H304" s="21">
        <v>28.2</v>
      </c>
      <c r="I304" s="22">
        <f t="shared" si="13"/>
        <v>28</v>
      </c>
    </row>
    <row r="305" spans="3:9" x14ac:dyDescent="0.2">
      <c r="C305" s="14">
        <f t="shared" si="14"/>
        <v>44176</v>
      </c>
      <c r="D305" s="21">
        <v>27.1</v>
      </c>
      <c r="E305" s="21">
        <v>23.6</v>
      </c>
      <c r="F305" s="21">
        <v>27.2</v>
      </c>
      <c r="G305" s="21">
        <v>25.1</v>
      </c>
      <c r="H305" s="21">
        <v>24.6</v>
      </c>
      <c r="I305" s="22">
        <f t="shared" si="13"/>
        <v>25</v>
      </c>
    </row>
    <row r="306" spans="3:9" x14ac:dyDescent="0.2">
      <c r="C306" s="14">
        <f t="shared" si="14"/>
        <v>44177</v>
      </c>
      <c r="D306" s="21">
        <v>25.9</v>
      </c>
      <c r="E306" s="21">
        <v>22.6</v>
      </c>
      <c r="F306" s="21">
        <v>26</v>
      </c>
      <c r="G306" s="21">
        <v>24.1</v>
      </c>
      <c r="H306" s="21">
        <v>23.7</v>
      </c>
      <c r="I306" s="22">
        <f t="shared" si="13"/>
        <v>24</v>
      </c>
    </row>
    <row r="307" spans="3:9" x14ac:dyDescent="0.2">
      <c r="C307" s="14">
        <f t="shared" si="14"/>
        <v>44178</v>
      </c>
      <c r="D307" s="21">
        <v>23.8</v>
      </c>
      <c r="E307" s="21">
        <v>20.5</v>
      </c>
      <c r="F307" s="21">
        <v>23.1</v>
      </c>
      <c r="G307" s="21">
        <v>20.7</v>
      </c>
      <c r="H307" s="21">
        <v>22.1</v>
      </c>
      <c r="I307" s="22">
        <f t="shared" si="13"/>
        <v>22</v>
      </c>
    </row>
    <row r="308" spans="3:9" x14ac:dyDescent="0.2">
      <c r="C308" s="14">
        <f t="shared" si="14"/>
        <v>44179</v>
      </c>
      <c r="D308" s="21">
        <v>23.3</v>
      </c>
      <c r="E308" s="21">
        <v>18.600000000000001</v>
      </c>
      <c r="F308" s="21">
        <v>22.1</v>
      </c>
      <c r="G308" s="21">
        <v>21</v>
      </c>
      <c r="H308" s="21">
        <v>23.1</v>
      </c>
      <c r="I308" s="22">
        <f t="shared" si="13"/>
        <v>22</v>
      </c>
    </row>
    <row r="309" spans="3:9" x14ac:dyDescent="0.2">
      <c r="C309" s="14">
        <f t="shared" si="14"/>
        <v>44180</v>
      </c>
      <c r="D309" s="21">
        <v>25.7</v>
      </c>
      <c r="E309" s="21">
        <v>21</v>
      </c>
      <c r="F309" s="21">
        <v>25.8</v>
      </c>
      <c r="G309" s="21">
        <v>24.3</v>
      </c>
      <c r="H309" s="21">
        <v>23.8</v>
      </c>
      <c r="I309" s="22">
        <f t="shared" si="13"/>
        <v>24</v>
      </c>
    </row>
    <row r="310" spans="3:9" x14ac:dyDescent="0.2">
      <c r="C310" s="14">
        <f t="shared" si="14"/>
        <v>44181</v>
      </c>
      <c r="D310" s="21">
        <v>24.5</v>
      </c>
      <c r="E310" s="21">
        <v>18.2</v>
      </c>
      <c r="F310" s="21">
        <v>23.3</v>
      </c>
      <c r="G310" s="21">
        <v>21.7</v>
      </c>
      <c r="H310" s="21">
        <v>22.9</v>
      </c>
      <c r="I310" s="22">
        <f t="shared" si="13"/>
        <v>22</v>
      </c>
    </row>
    <row r="311" spans="3:9" x14ac:dyDescent="0.2">
      <c r="C311" s="14">
        <f t="shared" si="14"/>
        <v>44182</v>
      </c>
      <c r="D311" s="21">
        <v>26.7</v>
      </c>
      <c r="E311" s="21">
        <v>20.5</v>
      </c>
      <c r="F311" s="21">
        <v>25.3</v>
      </c>
      <c r="G311" s="21">
        <v>23.2</v>
      </c>
      <c r="H311" s="21">
        <v>25.6</v>
      </c>
      <c r="I311" s="22">
        <f t="shared" si="13"/>
        <v>25</v>
      </c>
    </row>
    <row r="312" spans="3:9" x14ac:dyDescent="0.2">
      <c r="C312" s="14">
        <f t="shared" si="14"/>
        <v>44183</v>
      </c>
      <c r="D312" s="21">
        <v>30.1</v>
      </c>
      <c r="E312" s="21">
        <v>26.2</v>
      </c>
      <c r="F312" s="21">
        <v>30.4</v>
      </c>
      <c r="G312" s="21">
        <v>28.1</v>
      </c>
      <c r="H312" s="21">
        <v>28.4</v>
      </c>
      <c r="I312" s="22">
        <f t="shared" si="13"/>
        <v>29</v>
      </c>
    </row>
    <row r="313" spans="3:9" x14ac:dyDescent="0.2">
      <c r="C313" s="14">
        <f t="shared" si="14"/>
        <v>44184</v>
      </c>
      <c r="D313" s="21">
        <v>26.2</v>
      </c>
      <c r="E313" s="21">
        <v>22.6</v>
      </c>
      <c r="F313" s="21">
        <v>26.9</v>
      </c>
      <c r="G313" s="21">
        <v>24.5</v>
      </c>
      <c r="H313" s="21">
        <v>23.7</v>
      </c>
      <c r="I313" s="22">
        <f t="shared" si="13"/>
        <v>25</v>
      </c>
    </row>
    <row r="314" spans="3:9" x14ac:dyDescent="0.2">
      <c r="C314" s="14">
        <f t="shared" si="14"/>
        <v>44185</v>
      </c>
      <c r="D314" s="21">
        <v>21.8</v>
      </c>
      <c r="E314" s="21">
        <v>20</v>
      </c>
      <c r="F314" s="21">
        <v>24.6</v>
      </c>
      <c r="G314" s="21">
        <v>21.5</v>
      </c>
      <c r="H314" s="21">
        <v>20.9</v>
      </c>
      <c r="I314" s="22">
        <f t="shared" si="13"/>
        <v>21</v>
      </c>
    </row>
    <row r="315" spans="3:9" x14ac:dyDescent="0.2">
      <c r="C315" s="14">
        <f t="shared" si="14"/>
        <v>44186</v>
      </c>
      <c r="D315" s="21">
        <v>21.7</v>
      </c>
      <c r="E315" s="21">
        <v>17.100000000000001</v>
      </c>
      <c r="F315" s="21">
        <v>21.3</v>
      </c>
      <c r="G315" s="21">
        <v>19.600000000000001</v>
      </c>
      <c r="H315" s="21">
        <v>21.2</v>
      </c>
      <c r="I315" s="22">
        <f t="shared" si="13"/>
        <v>20</v>
      </c>
    </row>
    <row r="316" spans="3:9" x14ac:dyDescent="0.2">
      <c r="C316" s="14">
        <f t="shared" si="14"/>
        <v>44187</v>
      </c>
      <c r="D316" s="21">
        <v>22.8</v>
      </c>
      <c r="E316" s="21">
        <v>16.899999999999999</v>
      </c>
      <c r="F316" s="21">
        <v>21.6</v>
      </c>
      <c r="G316" s="21">
        <v>19.8</v>
      </c>
      <c r="H316" s="21">
        <v>21.1</v>
      </c>
      <c r="I316" s="22">
        <f t="shared" si="13"/>
        <v>21</v>
      </c>
    </row>
    <row r="317" spans="3:9" x14ac:dyDescent="0.2">
      <c r="C317" s="14">
        <f t="shared" si="14"/>
        <v>44188</v>
      </c>
      <c r="D317" s="21">
        <v>22.8</v>
      </c>
      <c r="E317" s="21">
        <v>16.100000000000001</v>
      </c>
      <c r="F317" s="21">
        <v>20.8</v>
      </c>
      <c r="G317" s="21">
        <v>19.5</v>
      </c>
      <c r="H317" s="21">
        <v>20.5</v>
      </c>
      <c r="I317" s="22">
        <f t="shared" si="13"/>
        <v>20</v>
      </c>
    </row>
    <row r="318" spans="3:9" x14ac:dyDescent="0.2">
      <c r="C318" s="14">
        <f t="shared" si="14"/>
        <v>44189</v>
      </c>
      <c r="D318" s="21">
        <v>27.2</v>
      </c>
      <c r="E318" s="21">
        <v>18.899999999999999</v>
      </c>
      <c r="F318" s="21">
        <v>24.4</v>
      </c>
      <c r="G318" s="21">
        <v>23.7</v>
      </c>
      <c r="H318" s="21">
        <v>25.5</v>
      </c>
      <c r="I318" s="22">
        <f t="shared" si="13"/>
        <v>24</v>
      </c>
    </row>
    <row r="319" spans="3:9" x14ac:dyDescent="0.2">
      <c r="C319" s="14">
        <f t="shared" si="14"/>
        <v>44190</v>
      </c>
      <c r="D319" s="21">
        <v>26.2</v>
      </c>
      <c r="E319" s="21">
        <v>21.3</v>
      </c>
      <c r="F319" s="21">
        <v>27.4</v>
      </c>
      <c r="G319" s="21">
        <v>25.5</v>
      </c>
      <c r="H319" s="21">
        <v>24</v>
      </c>
      <c r="I319" s="22">
        <f t="shared" si="13"/>
        <v>24</v>
      </c>
    </row>
    <row r="320" spans="3:9" x14ac:dyDescent="0.2">
      <c r="C320" s="14">
        <f t="shared" si="14"/>
        <v>44191</v>
      </c>
      <c r="D320" s="21">
        <v>23.5</v>
      </c>
      <c r="E320" s="21">
        <v>19</v>
      </c>
      <c r="F320" s="21">
        <v>22.9</v>
      </c>
      <c r="G320" s="21">
        <v>22.1</v>
      </c>
      <c r="H320" s="21">
        <v>21</v>
      </c>
      <c r="I320" s="22">
        <f t="shared" si="13"/>
        <v>21</v>
      </c>
    </row>
    <row r="321" spans="3:9" x14ac:dyDescent="0.2">
      <c r="C321" s="14">
        <f t="shared" si="14"/>
        <v>44192</v>
      </c>
      <c r="D321" s="21">
        <v>24.2</v>
      </c>
      <c r="E321" s="21">
        <v>18.2</v>
      </c>
      <c r="F321" s="21">
        <v>22.6</v>
      </c>
      <c r="G321" s="21">
        <v>21.9</v>
      </c>
      <c r="H321" s="21">
        <v>21.7</v>
      </c>
      <c r="I321" s="22">
        <f t="shared" si="13"/>
        <v>22</v>
      </c>
    </row>
    <row r="322" spans="3:9" x14ac:dyDescent="0.2">
      <c r="C322" s="14">
        <f t="shared" si="14"/>
        <v>44193</v>
      </c>
      <c r="D322" s="21">
        <v>25.2</v>
      </c>
      <c r="E322" s="21">
        <v>20.399999999999999</v>
      </c>
      <c r="F322" s="21">
        <v>24.6</v>
      </c>
      <c r="G322" s="21">
        <v>22.8</v>
      </c>
      <c r="H322" s="21">
        <v>24.2</v>
      </c>
      <c r="I322" s="22">
        <f t="shared" si="13"/>
        <v>24</v>
      </c>
    </row>
    <row r="323" spans="3:9" x14ac:dyDescent="0.2">
      <c r="C323" s="14">
        <f t="shared" si="14"/>
        <v>44194</v>
      </c>
      <c r="D323" s="21">
        <v>27.2</v>
      </c>
      <c r="E323" s="21">
        <v>22.2</v>
      </c>
      <c r="F323" s="21">
        <v>26.6</v>
      </c>
      <c r="G323" s="21">
        <v>24.3</v>
      </c>
      <c r="H323" s="21">
        <v>26.1</v>
      </c>
      <c r="I323" s="22">
        <f t="shared" si="13"/>
        <v>25</v>
      </c>
    </row>
    <row r="324" spans="3:9" x14ac:dyDescent="0.2">
      <c r="C324" s="14">
        <f t="shared" si="14"/>
        <v>44195</v>
      </c>
      <c r="D324" s="21">
        <v>30.2</v>
      </c>
      <c r="E324" s="21">
        <v>28.3</v>
      </c>
      <c r="F324" s="21">
        <v>28</v>
      </c>
      <c r="G324" s="21">
        <v>26.9</v>
      </c>
      <c r="H324" s="21">
        <v>28.1</v>
      </c>
      <c r="I324" s="22">
        <f t="shared" si="13"/>
        <v>29</v>
      </c>
    </row>
    <row r="325" spans="3:9" x14ac:dyDescent="0.2">
      <c r="C325" s="14">
        <f t="shared" si="14"/>
        <v>44196</v>
      </c>
      <c r="D325" s="21">
        <v>30.7</v>
      </c>
      <c r="E325" s="21">
        <v>25.5</v>
      </c>
      <c r="F325" s="21">
        <v>30.6</v>
      </c>
      <c r="G325" s="21">
        <v>29.2</v>
      </c>
      <c r="H325" s="21">
        <v>28.4</v>
      </c>
      <c r="I325" s="22">
        <f t="shared" si="13"/>
        <v>29</v>
      </c>
    </row>
    <row r="326" spans="3:9" x14ac:dyDescent="0.2">
      <c r="C326" s="14">
        <f t="shared" si="14"/>
        <v>44197</v>
      </c>
      <c r="D326" s="21">
        <v>29.4</v>
      </c>
      <c r="E326" s="21">
        <v>23.3</v>
      </c>
      <c r="F326" s="21">
        <v>27.4</v>
      </c>
      <c r="G326" s="21">
        <v>27</v>
      </c>
      <c r="H326" s="21">
        <v>28.2</v>
      </c>
      <c r="I326" s="22">
        <f t="shared" si="13"/>
        <v>27</v>
      </c>
    </row>
    <row r="327" spans="3:9" x14ac:dyDescent="0.2">
      <c r="C327" s="14">
        <f t="shared" si="14"/>
        <v>44198</v>
      </c>
      <c r="D327" s="21">
        <v>31.2</v>
      </c>
      <c r="E327" s="21">
        <v>25.7</v>
      </c>
      <c r="F327" s="21">
        <v>30.1</v>
      </c>
      <c r="G327" s="21">
        <v>28.9</v>
      </c>
      <c r="H327" s="21">
        <v>29.7</v>
      </c>
      <c r="I327" s="22">
        <f t="shared" si="13"/>
        <v>29</v>
      </c>
    </row>
    <row r="328" spans="3:9" x14ac:dyDescent="0.2">
      <c r="C328" s="14">
        <f t="shared" si="14"/>
        <v>44199</v>
      </c>
      <c r="D328" s="21">
        <v>31.2</v>
      </c>
      <c r="E328" s="21">
        <v>24.8</v>
      </c>
      <c r="F328" s="21">
        <v>30.3</v>
      </c>
      <c r="G328" s="21">
        <v>28.4</v>
      </c>
      <c r="H328" s="21">
        <v>29.3</v>
      </c>
      <c r="I328" s="22">
        <f t="shared" si="13"/>
        <v>29</v>
      </c>
    </row>
    <row r="329" spans="3:9" x14ac:dyDescent="0.2">
      <c r="C329" s="14">
        <f t="shared" si="14"/>
        <v>44200</v>
      </c>
      <c r="D329" s="21">
        <v>32.6</v>
      </c>
      <c r="E329" s="21">
        <v>27.5</v>
      </c>
      <c r="F329" s="21">
        <v>31.3</v>
      </c>
      <c r="G329" s="21">
        <v>29.4</v>
      </c>
      <c r="H329" s="21">
        <v>31.8</v>
      </c>
      <c r="I329" s="22">
        <f t="shared" si="13"/>
        <v>31</v>
      </c>
    </row>
    <row r="330" spans="3:9" x14ac:dyDescent="0.2">
      <c r="C330" s="14">
        <f t="shared" si="14"/>
        <v>44201</v>
      </c>
      <c r="D330" s="21">
        <v>34.6</v>
      </c>
      <c r="E330" s="21">
        <v>28.7</v>
      </c>
      <c r="F330" s="21">
        <v>33.4</v>
      </c>
      <c r="G330" s="21">
        <v>31.6</v>
      </c>
      <c r="H330" s="21">
        <v>32</v>
      </c>
      <c r="I330" s="22">
        <f t="shared" si="13"/>
        <v>32</v>
      </c>
    </row>
    <row r="331" spans="3:9" x14ac:dyDescent="0.2">
      <c r="C331" s="14">
        <f t="shared" si="14"/>
        <v>44202</v>
      </c>
      <c r="D331" s="21">
        <v>36</v>
      </c>
      <c r="E331" s="21">
        <v>30.2</v>
      </c>
      <c r="F331" s="21">
        <v>34.5</v>
      </c>
      <c r="G331" s="21">
        <v>33.4</v>
      </c>
      <c r="H331" s="21">
        <v>33.4</v>
      </c>
      <c r="I331" s="22">
        <f t="shared" si="13"/>
        <v>33</v>
      </c>
    </row>
    <row r="332" spans="3:9" x14ac:dyDescent="0.2">
      <c r="C332" s="14">
        <f t="shared" si="14"/>
        <v>44203</v>
      </c>
      <c r="D332" s="21">
        <v>34.700000000000003</v>
      </c>
      <c r="E332" s="21">
        <v>30.2</v>
      </c>
      <c r="F332" s="21">
        <v>34.700000000000003</v>
      </c>
      <c r="G332" s="21">
        <v>33</v>
      </c>
      <c r="H332" s="21">
        <v>32.1</v>
      </c>
      <c r="I332" s="22">
        <f t="shared" si="13"/>
        <v>33</v>
      </c>
    </row>
    <row r="333" spans="3:9" x14ac:dyDescent="0.2">
      <c r="C333" s="14">
        <f t="shared" si="14"/>
        <v>44204</v>
      </c>
      <c r="D333" s="21">
        <v>29.7</v>
      </c>
      <c r="E333" s="21">
        <v>26.2</v>
      </c>
      <c r="F333" s="21">
        <v>31.3</v>
      </c>
      <c r="G333" s="21">
        <v>29.4</v>
      </c>
      <c r="H333" s="21">
        <v>28</v>
      </c>
      <c r="I333" s="22">
        <f t="shared" si="13"/>
        <v>29</v>
      </c>
    </row>
    <row r="334" spans="3:9" x14ac:dyDescent="0.2">
      <c r="C334" s="14">
        <f t="shared" si="14"/>
        <v>44205</v>
      </c>
      <c r="D334" s="21">
        <v>27.6</v>
      </c>
      <c r="E334" s="21">
        <v>23.2</v>
      </c>
      <c r="F334" s="21">
        <v>28.4</v>
      </c>
      <c r="G334" s="21">
        <v>26</v>
      </c>
      <c r="H334" s="21">
        <v>26.2</v>
      </c>
      <c r="I334" s="22">
        <f t="shared" si="13"/>
        <v>26</v>
      </c>
    </row>
    <row r="335" spans="3:9" x14ac:dyDescent="0.2">
      <c r="C335" s="14">
        <f t="shared" si="14"/>
        <v>44206</v>
      </c>
      <c r="D335" s="21">
        <v>26.2</v>
      </c>
      <c r="E335" s="21">
        <v>20.100000000000001</v>
      </c>
      <c r="F335" s="21">
        <v>25.6</v>
      </c>
      <c r="G335" s="21">
        <v>24</v>
      </c>
      <c r="H335" s="21">
        <v>23.6</v>
      </c>
      <c r="I335" s="22">
        <f t="shared" si="13"/>
        <v>24</v>
      </c>
    </row>
    <row r="336" spans="3:9" x14ac:dyDescent="0.2">
      <c r="C336" s="14">
        <f t="shared" si="14"/>
        <v>44207</v>
      </c>
      <c r="D336" s="21">
        <v>24.4</v>
      </c>
      <c r="E336" s="21">
        <v>16.8</v>
      </c>
      <c r="F336" s="21">
        <v>21.5</v>
      </c>
      <c r="G336" s="21">
        <v>21</v>
      </c>
      <c r="H336" s="21">
        <v>22.9</v>
      </c>
      <c r="I336" s="22">
        <f t="shared" si="13"/>
        <v>22</v>
      </c>
    </row>
    <row r="337" spans="3:9" x14ac:dyDescent="0.2">
      <c r="C337" s="14">
        <f t="shared" si="14"/>
        <v>44208</v>
      </c>
      <c r="D337" s="21">
        <v>27.5</v>
      </c>
      <c r="E337" s="21">
        <v>19.7</v>
      </c>
      <c r="F337" s="21">
        <v>25.3</v>
      </c>
      <c r="G337" s="21">
        <v>23.8</v>
      </c>
      <c r="H337" s="21">
        <v>26.2</v>
      </c>
      <c r="I337" s="22">
        <f t="shared" si="13"/>
        <v>25</v>
      </c>
    </row>
    <row r="338" spans="3:9" x14ac:dyDescent="0.2">
      <c r="C338" s="14">
        <f t="shared" si="14"/>
        <v>44209</v>
      </c>
      <c r="D338" s="21">
        <v>33.200000000000003</v>
      </c>
      <c r="E338" s="21">
        <v>26.1</v>
      </c>
      <c r="F338" s="21">
        <v>31.9</v>
      </c>
      <c r="G338" s="21">
        <v>29.8</v>
      </c>
      <c r="H338" s="21">
        <v>30.7</v>
      </c>
      <c r="I338" s="22">
        <f t="shared" si="13"/>
        <v>30</v>
      </c>
    </row>
    <row r="339" spans="3:9" x14ac:dyDescent="0.2">
      <c r="C339" s="14">
        <f t="shared" si="14"/>
        <v>44210</v>
      </c>
      <c r="D339" s="21">
        <v>31.7</v>
      </c>
      <c r="E339" s="21">
        <v>23.6</v>
      </c>
      <c r="F339" s="21">
        <v>31</v>
      </c>
      <c r="G339" s="21">
        <v>29.2</v>
      </c>
      <c r="H339" s="21">
        <v>29.6</v>
      </c>
      <c r="I339" s="22">
        <f t="shared" si="13"/>
        <v>29</v>
      </c>
    </row>
    <row r="340" spans="3:9" x14ac:dyDescent="0.2">
      <c r="C340" s="14">
        <f t="shared" si="14"/>
        <v>44211</v>
      </c>
      <c r="D340" s="21">
        <v>31.3</v>
      </c>
      <c r="E340" s="21">
        <v>24.1</v>
      </c>
      <c r="F340" s="21">
        <v>30.3</v>
      </c>
      <c r="G340" s="21">
        <v>29.3</v>
      </c>
      <c r="H340" s="21">
        <v>29.3</v>
      </c>
      <c r="I340" s="22">
        <f t="shared" si="13"/>
        <v>29</v>
      </c>
    </row>
    <row r="341" spans="3:9" x14ac:dyDescent="0.2">
      <c r="C341" s="14">
        <f t="shared" si="14"/>
        <v>44212</v>
      </c>
      <c r="D341" s="21">
        <v>29.8</v>
      </c>
      <c r="E341" s="21">
        <v>25.6</v>
      </c>
      <c r="F341" s="21">
        <v>30.5</v>
      </c>
      <c r="G341" s="21">
        <v>29.6</v>
      </c>
      <c r="H341" s="21">
        <v>27.9</v>
      </c>
      <c r="I341" s="22">
        <f t="shared" si="13"/>
        <v>28</v>
      </c>
    </row>
    <row r="342" spans="3:9" x14ac:dyDescent="0.2">
      <c r="C342" s="14">
        <f t="shared" si="14"/>
        <v>44213</v>
      </c>
      <c r="D342" s="21">
        <v>29.9</v>
      </c>
      <c r="E342" s="21">
        <v>24.9</v>
      </c>
      <c r="F342" s="21">
        <v>30.6</v>
      </c>
      <c r="G342" s="21">
        <v>28.9</v>
      </c>
      <c r="H342" s="21">
        <v>28.1</v>
      </c>
      <c r="I342" s="22">
        <f t="shared" si="13"/>
        <v>28</v>
      </c>
    </row>
    <row r="343" spans="3:9" x14ac:dyDescent="0.2">
      <c r="C343" s="14">
        <f t="shared" si="14"/>
        <v>44214</v>
      </c>
      <c r="D343" s="21">
        <v>32.4</v>
      </c>
      <c r="E343" s="21">
        <v>27.2</v>
      </c>
      <c r="F343" s="21">
        <v>34</v>
      </c>
      <c r="G343" s="21">
        <v>31.1</v>
      </c>
      <c r="H343" s="21">
        <v>30.2</v>
      </c>
      <c r="I343" s="22">
        <f t="shared" si="13"/>
        <v>31</v>
      </c>
    </row>
    <row r="344" spans="3:9" x14ac:dyDescent="0.2">
      <c r="C344" s="14">
        <f t="shared" si="14"/>
        <v>44215</v>
      </c>
      <c r="D344" s="21">
        <v>30</v>
      </c>
      <c r="E344" s="21">
        <v>23.6</v>
      </c>
      <c r="F344" s="21">
        <v>30.4</v>
      </c>
      <c r="G344" s="21">
        <v>28.5</v>
      </c>
      <c r="H344" s="21">
        <v>27</v>
      </c>
      <c r="I344" s="22">
        <f t="shared" si="13"/>
        <v>27</v>
      </c>
    </row>
    <row r="345" spans="3:9" x14ac:dyDescent="0.2">
      <c r="C345" s="14">
        <f t="shared" si="14"/>
        <v>44216</v>
      </c>
      <c r="D345" s="21">
        <v>30.7</v>
      </c>
      <c r="E345" s="21">
        <v>21.5</v>
      </c>
      <c r="F345" s="21">
        <v>29.6</v>
      </c>
      <c r="G345" s="21">
        <v>28.5</v>
      </c>
      <c r="H345" s="21">
        <v>27.6</v>
      </c>
      <c r="I345" s="22">
        <f t="shared" si="13"/>
        <v>27</v>
      </c>
    </row>
    <row r="346" spans="3:9" x14ac:dyDescent="0.2">
      <c r="C346" s="14">
        <f t="shared" si="14"/>
        <v>44217</v>
      </c>
      <c r="D346" s="21">
        <v>31.2</v>
      </c>
      <c r="E346" s="21">
        <v>23.7</v>
      </c>
      <c r="F346" s="21">
        <v>31.7</v>
      </c>
      <c r="G346" s="21">
        <v>29.5</v>
      </c>
      <c r="H346" s="21">
        <v>28.6</v>
      </c>
      <c r="I346" s="22">
        <f t="shared" si="13"/>
        <v>29</v>
      </c>
    </row>
    <row r="347" spans="3:9" x14ac:dyDescent="0.2">
      <c r="C347" s="14">
        <f t="shared" si="14"/>
        <v>44218</v>
      </c>
      <c r="D347" s="21">
        <v>29.7</v>
      </c>
      <c r="E347" s="21">
        <v>25</v>
      </c>
      <c r="F347" s="21">
        <v>32.299999999999997</v>
      </c>
      <c r="G347" s="21">
        <v>29.7</v>
      </c>
      <c r="H347" s="21">
        <v>27.9</v>
      </c>
      <c r="I347" s="22">
        <f t="shared" si="13"/>
        <v>28</v>
      </c>
    </row>
    <row r="348" spans="3:9" x14ac:dyDescent="0.2">
      <c r="C348" s="14">
        <f t="shared" si="14"/>
        <v>44219</v>
      </c>
      <c r="D348" s="21">
        <v>31.1</v>
      </c>
      <c r="E348" s="21">
        <v>26.8</v>
      </c>
      <c r="F348" s="21">
        <v>31.1</v>
      </c>
      <c r="G348" s="21">
        <v>28.8</v>
      </c>
      <c r="H348" s="21">
        <v>30.1</v>
      </c>
      <c r="I348" s="22">
        <f t="shared" si="13"/>
        <v>30</v>
      </c>
    </row>
    <row r="349" spans="3:9" x14ac:dyDescent="0.2">
      <c r="C349" s="14">
        <f t="shared" si="14"/>
        <v>44220</v>
      </c>
      <c r="D349" s="21">
        <v>32.9</v>
      </c>
      <c r="E349" s="21">
        <v>26.9</v>
      </c>
      <c r="F349" s="21">
        <v>34.9</v>
      </c>
      <c r="G349" s="21">
        <v>31.8</v>
      </c>
      <c r="H349" s="21">
        <v>30.8</v>
      </c>
      <c r="I349" s="22">
        <f t="shared" si="13"/>
        <v>31</v>
      </c>
    </row>
    <row r="350" spans="3:9" x14ac:dyDescent="0.2">
      <c r="C350" s="14">
        <f t="shared" si="14"/>
        <v>44221</v>
      </c>
      <c r="D350" s="21">
        <v>28.6</v>
      </c>
      <c r="E350" s="21">
        <v>23.5</v>
      </c>
      <c r="F350" s="21">
        <v>31.1</v>
      </c>
      <c r="G350" s="21">
        <v>29.3</v>
      </c>
      <c r="H350" s="21">
        <v>26.2</v>
      </c>
      <c r="I350" s="22">
        <f t="shared" si="13"/>
        <v>27</v>
      </c>
    </row>
    <row r="351" spans="3:9" x14ac:dyDescent="0.2">
      <c r="C351" s="14">
        <f t="shared" si="14"/>
        <v>44222</v>
      </c>
      <c r="D351" s="21">
        <v>27.1</v>
      </c>
      <c r="E351" s="21">
        <v>20.7</v>
      </c>
      <c r="F351" s="21">
        <v>27.2</v>
      </c>
      <c r="G351" s="21">
        <v>25.5</v>
      </c>
      <c r="H351" s="21">
        <v>24.9</v>
      </c>
      <c r="I351" s="22">
        <f t="shared" si="13"/>
        <v>25</v>
      </c>
    </row>
    <row r="352" spans="3:9" x14ac:dyDescent="0.2">
      <c r="C352" s="14">
        <f t="shared" si="14"/>
        <v>44223</v>
      </c>
      <c r="D352" s="21">
        <v>31.4</v>
      </c>
      <c r="E352" s="21">
        <v>23.4</v>
      </c>
      <c r="F352" s="21">
        <v>30.7</v>
      </c>
      <c r="G352" s="21">
        <v>28.2</v>
      </c>
      <c r="H352" s="21">
        <v>27.8</v>
      </c>
      <c r="I352" s="22">
        <f t="shared" si="13"/>
        <v>28</v>
      </c>
    </row>
    <row r="353" spans="3:9" x14ac:dyDescent="0.2">
      <c r="C353" s="14">
        <f t="shared" si="14"/>
        <v>44224</v>
      </c>
      <c r="D353" s="21">
        <v>30.6</v>
      </c>
      <c r="E353" s="21">
        <v>25.7</v>
      </c>
      <c r="F353" s="21">
        <v>32.9</v>
      </c>
      <c r="G353" s="21">
        <v>29.3</v>
      </c>
      <c r="H353" s="21">
        <v>27.9</v>
      </c>
      <c r="I353" s="22">
        <f t="shared" si="13"/>
        <v>29</v>
      </c>
    </row>
    <row r="354" spans="3:9" x14ac:dyDescent="0.2">
      <c r="C354" s="14">
        <f t="shared" si="14"/>
        <v>44225</v>
      </c>
      <c r="D354" s="21">
        <v>29.2</v>
      </c>
      <c r="E354" s="21">
        <v>25.2</v>
      </c>
      <c r="F354" s="21">
        <v>31.6</v>
      </c>
      <c r="G354" s="21">
        <v>29.1</v>
      </c>
      <c r="H354" s="21">
        <v>28</v>
      </c>
      <c r="I354" s="22">
        <f t="shared" si="13"/>
        <v>28</v>
      </c>
    </row>
    <row r="355" spans="3:9" x14ac:dyDescent="0.2">
      <c r="C355" s="14">
        <f t="shared" si="14"/>
        <v>44226</v>
      </c>
      <c r="D355" s="21">
        <v>30.5</v>
      </c>
      <c r="E355" s="21">
        <v>24.8</v>
      </c>
      <c r="F355" s="21">
        <v>31.7</v>
      </c>
      <c r="G355" s="21">
        <v>28.9</v>
      </c>
      <c r="H355" s="21">
        <v>27.4</v>
      </c>
      <c r="I355" s="22">
        <f t="shared" ref="I355:I415" si="15">IFERROR(ROUND((D355*D$29)+(E355*E$29)+(F355*F$29)+(G355*G$29)+(H355*H$29),0),0)</f>
        <v>28</v>
      </c>
    </row>
    <row r="356" spans="3:9" x14ac:dyDescent="0.2">
      <c r="C356" s="14">
        <f t="shared" si="14"/>
        <v>44227</v>
      </c>
      <c r="D356" s="21">
        <v>25.5</v>
      </c>
      <c r="E356" s="21">
        <v>19.100000000000001</v>
      </c>
      <c r="F356" s="21">
        <v>26.7</v>
      </c>
      <c r="G356" s="21">
        <v>24.3</v>
      </c>
      <c r="H356" s="21">
        <v>22.3</v>
      </c>
      <c r="I356" s="22">
        <f t="shared" si="15"/>
        <v>23</v>
      </c>
    </row>
    <row r="357" spans="3:9" x14ac:dyDescent="0.2">
      <c r="C357" s="14">
        <f t="shared" ref="C357:C415" si="16">C356+1</f>
        <v>44228</v>
      </c>
      <c r="D357" s="21">
        <v>25.6</v>
      </c>
      <c r="E357" s="21">
        <v>19.100000000000001</v>
      </c>
      <c r="F357" s="21">
        <v>26</v>
      </c>
      <c r="G357" s="21">
        <v>23.7</v>
      </c>
      <c r="H357" s="21">
        <v>22.7</v>
      </c>
      <c r="I357" s="22">
        <f t="shared" si="15"/>
        <v>23</v>
      </c>
    </row>
    <row r="358" spans="3:9" x14ac:dyDescent="0.2">
      <c r="C358" s="14">
        <f t="shared" si="16"/>
        <v>44229</v>
      </c>
      <c r="D358" s="21">
        <v>28.4</v>
      </c>
      <c r="E358" s="21">
        <v>20.9</v>
      </c>
      <c r="F358" s="21">
        <v>28.2</v>
      </c>
      <c r="G358" s="21">
        <v>25.9</v>
      </c>
      <c r="H358" s="21">
        <v>25.9</v>
      </c>
      <c r="I358" s="22">
        <f t="shared" si="15"/>
        <v>26</v>
      </c>
    </row>
    <row r="359" spans="3:9" x14ac:dyDescent="0.2">
      <c r="C359" s="14">
        <f t="shared" si="16"/>
        <v>44230</v>
      </c>
      <c r="D359" s="21">
        <v>27.4</v>
      </c>
      <c r="E359" s="21">
        <v>22.4</v>
      </c>
      <c r="F359" s="21">
        <v>28</v>
      </c>
      <c r="G359" s="21">
        <v>25</v>
      </c>
      <c r="H359" s="21">
        <v>26.1</v>
      </c>
      <c r="I359" s="22">
        <f t="shared" si="15"/>
        <v>26</v>
      </c>
    </row>
    <row r="360" spans="3:9" x14ac:dyDescent="0.2">
      <c r="C360" s="14">
        <f t="shared" si="16"/>
        <v>44231</v>
      </c>
      <c r="D360" s="21">
        <v>26.9</v>
      </c>
      <c r="E360" s="21">
        <v>20.2</v>
      </c>
      <c r="F360" s="21">
        <v>28.3</v>
      </c>
      <c r="G360" s="21">
        <v>25.4</v>
      </c>
      <c r="H360" s="21">
        <v>24.2</v>
      </c>
      <c r="I360" s="22">
        <f t="shared" si="15"/>
        <v>25</v>
      </c>
    </row>
    <row r="361" spans="3:9" x14ac:dyDescent="0.2">
      <c r="C361" s="14">
        <f t="shared" si="16"/>
        <v>44232</v>
      </c>
      <c r="D361" s="21">
        <v>30.5</v>
      </c>
      <c r="E361" s="21">
        <v>20.5</v>
      </c>
      <c r="F361" s="21">
        <v>28.7</v>
      </c>
      <c r="G361" s="21">
        <v>27.4</v>
      </c>
      <c r="H361" s="21">
        <v>27.8</v>
      </c>
      <c r="I361" s="22">
        <f t="shared" si="15"/>
        <v>27</v>
      </c>
    </row>
    <row r="362" spans="3:9" x14ac:dyDescent="0.2">
      <c r="C362" s="14">
        <f t="shared" si="16"/>
        <v>44233</v>
      </c>
      <c r="D362" s="21">
        <v>29.1</v>
      </c>
      <c r="E362" s="21">
        <v>22.4</v>
      </c>
      <c r="F362" s="21">
        <v>28.2</v>
      </c>
      <c r="G362" s="21">
        <v>26.9</v>
      </c>
      <c r="H362" s="21">
        <v>26.4</v>
      </c>
      <c r="I362" s="22">
        <f t="shared" si="15"/>
        <v>26</v>
      </c>
    </row>
    <row r="363" spans="3:9" x14ac:dyDescent="0.2">
      <c r="C363" s="14">
        <f t="shared" si="16"/>
        <v>44234</v>
      </c>
      <c r="D363" s="21">
        <v>27.9</v>
      </c>
      <c r="E363" s="21">
        <v>21.8</v>
      </c>
      <c r="F363" s="21">
        <v>26.1</v>
      </c>
      <c r="G363" s="21">
        <v>24.8</v>
      </c>
      <c r="H363" s="21">
        <v>26.3</v>
      </c>
      <c r="I363" s="22">
        <f t="shared" si="15"/>
        <v>26</v>
      </c>
    </row>
    <row r="364" spans="3:9" x14ac:dyDescent="0.2">
      <c r="C364" s="14">
        <f t="shared" si="16"/>
        <v>44235</v>
      </c>
      <c r="D364" s="21">
        <v>31.4</v>
      </c>
      <c r="E364" s="21">
        <v>23.4</v>
      </c>
      <c r="F364" s="21">
        <v>30</v>
      </c>
      <c r="G364" s="21">
        <v>28.7</v>
      </c>
      <c r="H364" s="21">
        <v>29.1</v>
      </c>
      <c r="I364" s="22">
        <f t="shared" si="15"/>
        <v>28</v>
      </c>
    </row>
    <row r="365" spans="3:9" x14ac:dyDescent="0.2">
      <c r="C365" s="14">
        <f t="shared" si="16"/>
        <v>44236</v>
      </c>
      <c r="D365" s="21">
        <v>32.799999999999997</v>
      </c>
      <c r="E365" s="21">
        <v>25.5</v>
      </c>
      <c r="F365" s="21">
        <v>32.9</v>
      </c>
      <c r="G365" s="21">
        <v>31</v>
      </c>
      <c r="H365" s="21">
        <v>30.2</v>
      </c>
      <c r="I365" s="22">
        <f t="shared" si="15"/>
        <v>30</v>
      </c>
    </row>
    <row r="366" spans="3:9" x14ac:dyDescent="0.2">
      <c r="C366" s="14">
        <f t="shared" si="16"/>
        <v>44237</v>
      </c>
      <c r="D366" s="21">
        <v>31.1</v>
      </c>
      <c r="E366" s="21">
        <v>22.9</v>
      </c>
      <c r="F366" s="21">
        <v>31.5</v>
      </c>
      <c r="G366" s="21">
        <v>29.6</v>
      </c>
      <c r="H366" s="21">
        <v>29</v>
      </c>
      <c r="I366" s="22">
        <f t="shared" si="15"/>
        <v>28</v>
      </c>
    </row>
    <row r="367" spans="3:9" x14ac:dyDescent="0.2">
      <c r="C367" s="14">
        <f t="shared" si="16"/>
        <v>44238</v>
      </c>
      <c r="D367" s="21">
        <v>30.3</v>
      </c>
      <c r="E367" s="21">
        <v>22.4</v>
      </c>
      <c r="F367" s="21">
        <v>29.7</v>
      </c>
      <c r="G367" s="21">
        <v>28.1</v>
      </c>
      <c r="H367" s="21">
        <v>28.2</v>
      </c>
      <c r="I367" s="22">
        <f t="shared" si="15"/>
        <v>28</v>
      </c>
    </row>
    <row r="368" spans="3:9" x14ac:dyDescent="0.2">
      <c r="C368" s="14">
        <f t="shared" si="16"/>
        <v>44239</v>
      </c>
      <c r="D368" s="21">
        <v>31.9</v>
      </c>
      <c r="E368" s="21">
        <v>25.5</v>
      </c>
      <c r="F368" s="21">
        <v>32.1</v>
      </c>
      <c r="G368" s="21">
        <v>29.5</v>
      </c>
      <c r="H368" s="21">
        <v>30.7</v>
      </c>
      <c r="I368" s="22">
        <f t="shared" si="15"/>
        <v>30</v>
      </c>
    </row>
    <row r="369" spans="3:9" x14ac:dyDescent="0.2">
      <c r="C369" s="14">
        <f t="shared" si="16"/>
        <v>44240</v>
      </c>
      <c r="D369" s="21">
        <v>35.200000000000003</v>
      </c>
      <c r="E369" s="21">
        <v>28.3</v>
      </c>
      <c r="F369" s="21">
        <v>34.6</v>
      </c>
      <c r="G369" s="21">
        <v>32.6</v>
      </c>
      <c r="H369" s="21">
        <v>33.9</v>
      </c>
      <c r="I369" s="22">
        <f t="shared" si="15"/>
        <v>33</v>
      </c>
    </row>
    <row r="370" spans="3:9" x14ac:dyDescent="0.2">
      <c r="C370" s="14">
        <f t="shared" si="16"/>
        <v>44241</v>
      </c>
      <c r="D370" s="21">
        <v>31.2</v>
      </c>
      <c r="E370" s="21">
        <v>25.6</v>
      </c>
      <c r="F370" s="21">
        <v>30.4</v>
      </c>
      <c r="G370" s="21">
        <v>29</v>
      </c>
      <c r="H370" s="21">
        <v>29.3</v>
      </c>
      <c r="I370" s="22">
        <f t="shared" si="15"/>
        <v>29</v>
      </c>
    </row>
    <row r="371" spans="3:9" x14ac:dyDescent="0.2">
      <c r="C371" s="14">
        <f t="shared" si="16"/>
        <v>44242</v>
      </c>
      <c r="D371" s="21">
        <v>31.2</v>
      </c>
      <c r="E371" s="21">
        <v>25.8</v>
      </c>
      <c r="F371" s="21">
        <v>30.5</v>
      </c>
      <c r="G371" s="21">
        <v>29.2</v>
      </c>
      <c r="H371" s="21">
        <v>30.4</v>
      </c>
      <c r="I371" s="22">
        <f t="shared" si="15"/>
        <v>29</v>
      </c>
    </row>
    <row r="372" spans="3:9" x14ac:dyDescent="0.2">
      <c r="C372" s="14">
        <f t="shared" si="16"/>
        <v>44243</v>
      </c>
      <c r="D372" s="21">
        <v>32.4</v>
      </c>
      <c r="E372" s="21">
        <v>25</v>
      </c>
      <c r="F372" s="21">
        <v>31.7</v>
      </c>
      <c r="G372" s="21">
        <v>29.5</v>
      </c>
      <c r="H372" s="21">
        <v>31.2</v>
      </c>
      <c r="I372" s="22">
        <f t="shared" si="15"/>
        <v>30</v>
      </c>
    </row>
    <row r="373" spans="3:9" x14ac:dyDescent="0.2">
      <c r="C373" s="14">
        <f t="shared" si="16"/>
        <v>44244</v>
      </c>
      <c r="D373" s="21">
        <v>31</v>
      </c>
      <c r="E373" s="21">
        <v>24.1</v>
      </c>
      <c r="F373" s="21">
        <v>31.9</v>
      </c>
      <c r="G373" s="21">
        <v>29.7</v>
      </c>
      <c r="H373" s="21">
        <v>28.5</v>
      </c>
      <c r="I373" s="22">
        <f t="shared" si="15"/>
        <v>29</v>
      </c>
    </row>
    <row r="374" spans="3:9" x14ac:dyDescent="0.2">
      <c r="C374" s="14">
        <f t="shared" si="16"/>
        <v>44245</v>
      </c>
      <c r="D374" s="21">
        <v>27.6</v>
      </c>
      <c r="E374" s="21">
        <v>22.7</v>
      </c>
      <c r="F374" s="21">
        <v>26.8</v>
      </c>
      <c r="G374" s="21">
        <v>25.8</v>
      </c>
      <c r="H374" s="21">
        <v>26</v>
      </c>
      <c r="I374" s="22">
        <f t="shared" si="15"/>
        <v>26</v>
      </c>
    </row>
    <row r="375" spans="3:9" x14ac:dyDescent="0.2">
      <c r="C375" s="14">
        <f t="shared" si="16"/>
        <v>44246</v>
      </c>
      <c r="D375" s="21">
        <v>26.9</v>
      </c>
      <c r="E375" s="21">
        <v>20</v>
      </c>
      <c r="F375" s="21">
        <v>27.8</v>
      </c>
      <c r="G375" s="21">
        <v>25.5</v>
      </c>
      <c r="H375" s="21">
        <v>25</v>
      </c>
      <c r="I375" s="22">
        <f t="shared" si="15"/>
        <v>25</v>
      </c>
    </row>
    <row r="376" spans="3:9" x14ac:dyDescent="0.2">
      <c r="C376" s="14">
        <f t="shared" si="16"/>
        <v>44247</v>
      </c>
      <c r="D376" s="21">
        <v>25</v>
      </c>
      <c r="E376" s="21">
        <v>18.8</v>
      </c>
      <c r="F376" s="21">
        <v>25.8</v>
      </c>
      <c r="G376" s="21">
        <v>23.2</v>
      </c>
      <c r="H376" s="21">
        <v>22.2</v>
      </c>
      <c r="I376" s="22">
        <f t="shared" si="15"/>
        <v>23</v>
      </c>
    </row>
    <row r="377" spans="3:9" x14ac:dyDescent="0.2">
      <c r="C377" s="14">
        <f t="shared" si="16"/>
        <v>44248</v>
      </c>
      <c r="D377" s="21">
        <v>23.2</v>
      </c>
      <c r="E377" s="21">
        <v>16.600000000000001</v>
      </c>
      <c r="F377" s="21">
        <v>22.5</v>
      </c>
      <c r="G377" s="21">
        <v>21.3</v>
      </c>
      <c r="H377" s="21">
        <v>21.1</v>
      </c>
      <c r="I377" s="22">
        <f t="shared" si="15"/>
        <v>21</v>
      </c>
    </row>
    <row r="378" spans="3:9" x14ac:dyDescent="0.2">
      <c r="C378" s="14">
        <f t="shared" si="16"/>
        <v>44249</v>
      </c>
      <c r="D378" s="21">
        <v>21.9</v>
      </c>
      <c r="E378" s="21">
        <v>15.7</v>
      </c>
      <c r="F378" s="21">
        <v>21</v>
      </c>
      <c r="G378" s="21">
        <v>19.3</v>
      </c>
      <c r="H378" s="21">
        <v>20.2</v>
      </c>
      <c r="I378" s="22">
        <f t="shared" si="15"/>
        <v>20</v>
      </c>
    </row>
    <row r="379" spans="3:9" x14ac:dyDescent="0.2">
      <c r="C379" s="14">
        <f t="shared" si="16"/>
        <v>44250</v>
      </c>
      <c r="D379" s="21">
        <v>20.7</v>
      </c>
      <c r="E379" s="21">
        <v>12.5</v>
      </c>
      <c r="F379" s="21">
        <v>18.899999999999999</v>
      </c>
      <c r="G379" s="21">
        <v>18.100000000000001</v>
      </c>
      <c r="H379" s="21">
        <v>18.5</v>
      </c>
      <c r="I379" s="22">
        <f t="shared" si="15"/>
        <v>18</v>
      </c>
    </row>
    <row r="380" spans="3:9" x14ac:dyDescent="0.2">
      <c r="C380" s="14">
        <f t="shared" si="16"/>
        <v>44251</v>
      </c>
      <c r="D380" s="21">
        <v>21.6</v>
      </c>
      <c r="E380" s="21">
        <v>14.8</v>
      </c>
      <c r="F380" s="21">
        <v>20.6</v>
      </c>
      <c r="G380" s="21">
        <v>19</v>
      </c>
      <c r="H380" s="21">
        <v>20.100000000000001</v>
      </c>
      <c r="I380" s="22">
        <f t="shared" si="15"/>
        <v>19</v>
      </c>
    </row>
    <row r="381" spans="3:9" x14ac:dyDescent="0.2">
      <c r="C381" s="14">
        <f t="shared" si="16"/>
        <v>44252</v>
      </c>
      <c r="D381" s="21">
        <v>27.3</v>
      </c>
      <c r="E381" s="21">
        <v>20.100000000000001</v>
      </c>
      <c r="F381" s="21">
        <v>25.9</v>
      </c>
      <c r="G381" s="21">
        <v>24.4</v>
      </c>
      <c r="H381" s="21">
        <v>25</v>
      </c>
      <c r="I381" s="22">
        <f t="shared" si="15"/>
        <v>25</v>
      </c>
    </row>
    <row r="382" spans="3:9" x14ac:dyDescent="0.2">
      <c r="C382" s="14">
        <f t="shared" si="16"/>
        <v>44253</v>
      </c>
      <c r="D382" s="21">
        <v>28.3</v>
      </c>
      <c r="E382" s="21">
        <v>21.6</v>
      </c>
      <c r="F382" s="21">
        <v>28.3</v>
      </c>
      <c r="G382" s="21">
        <v>26.1</v>
      </c>
      <c r="H382" s="21">
        <v>26.3</v>
      </c>
      <c r="I382" s="22">
        <f t="shared" si="15"/>
        <v>26</v>
      </c>
    </row>
    <row r="383" spans="3:9" x14ac:dyDescent="0.2">
      <c r="C383" s="14">
        <f t="shared" si="16"/>
        <v>44254</v>
      </c>
      <c r="D383" s="21">
        <v>25.2</v>
      </c>
      <c r="E383" s="21">
        <v>19.3</v>
      </c>
      <c r="F383" s="21">
        <v>25.3</v>
      </c>
      <c r="G383" s="21">
        <v>22.8</v>
      </c>
      <c r="H383" s="21">
        <v>23</v>
      </c>
      <c r="I383" s="22">
        <f t="shared" si="15"/>
        <v>23</v>
      </c>
    </row>
    <row r="384" spans="3:9" x14ac:dyDescent="0.2">
      <c r="C384" s="14">
        <f t="shared" si="16"/>
        <v>44255</v>
      </c>
      <c r="D384" s="21">
        <v>21.1</v>
      </c>
      <c r="E384" s="21">
        <v>15.4</v>
      </c>
      <c r="F384" s="21">
        <v>22.1</v>
      </c>
      <c r="G384" s="21">
        <v>19.399999999999999</v>
      </c>
      <c r="H384" s="21">
        <v>18.100000000000001</v>
      </c>
      <c r="I384" s="22">
        <f t="shared" si="15"/>
        <v>19</v>
      </c>
    </row>
    <row r="385" spans="3:9" x14ac:dyDescent="0.2">
      <c r="C385" s="14">
        <f t="shared" si="16"/>
        <v>44256</v>
      </c>
      <c r="D385" s="21">
        <v>21.5</v>
      </c>
      <c r="E385" s="21">
        <v>15.7</v>
      </c>
      <c r="F385" s="21">
        <v>20.3</v>
      </c>
      <c r="G385" s="21">
        <v>19.100000000000001</v>
      </c>
      <c r="H385" s="21">
        <v>19.399999999999999</v>
      </c>
      <c r="I385" s="22">
        <f t="shared" si="15"/>
        <v>19</v>
      </c>
    </row>
    <row r="386" spans="3:9" x14ac:dyDescent="0.2">
      <c r="C386" s="14">
        <f t="shared" si="16"/>
        <v>44257</v>
      </c>
      <c r="D386" s="21">
        <v>25</v>
      </c>
      <c r="E386" s="21">
        <v>18.7</v>
      </c>
      <c r="F386" s="21">
        <v>25.4</v>
      </c>
      <c r="G386" s="21">
        <v>23.5</v>
      </c>
      <c r="H386" s="21">
        <v>22.8</v>
      </c>
      <c r="I386" s="22">
        <f t="shared" si="15"/>
        <v>23</v>
      </c>
    </row>
    <row r="387" spans="3:9" x14ac:dyDescent="0.2">
      <c r="C387" s="14">
        <f t="shared" si="16"/>
        <v>44258</v>
      </c>
      <c r="D387" s="21">
        <v>27.9</v>
      </c>
      <c r="E387" s="21">
        <v>21.9</v>
      </c>
      <c r="F387" s="21">
        <v>28.9</v>
      </c>
      <c r="G387" s="21">
        <v>25.2</v>
      </c>
      <c r="H387" s="21">
        <v>26</v>
      </c>
      <c r="I387" s="22">
        <f t="shared" si="15"/>
        <v>26</v>
      </c>
    </row>
    <row r="388" spans="3:9" x14ac:dyDescent="0.2">
      <c r="C388" s="14">
        <f t="shared" si="16"/>
        <v>44259</v>
      </c>
      <c r="D388" s="21">
        <v>27.5</v>
      </c>
      <c r="E388" s="21">
        <v>21.4</v>
      </c>
      <c r="F388" s="21">
        <v>29.8</v>
      </c>
      <c r="G388" s="21">
        <v>26.7</v>
      </c>
      <c r="H388" s="21">
        <v>24.6</v>
      </c>
      <c r="I388" s="22">
        <f t="shared" si="15"/>
        <v>25</v>
      </c>
    </row>
    <row r="389" spans="3:9" x14ac:dyDescent="0.2">
      <c r="C389" s="14">
        <f t="shared" si="16"/>
        <v>44260</v>
      </c>
      <c r="D389" s="21">
        <v>27.4</v>
      </c>
      <c r="E389" s="21">
        <v>22</v>
      </c>
      <c r="F389" s="21">
        <v>30.4</v>
      </c>
      <c r="G389" s="21">
        <v>27</v>
      </c>
      <c r="H389" s="21">
        <v>25</v>
      </c>
      <c r="I389" s="22">
        <f t="shared" si="15"/>
        <v>26</v>
      </c>
    </row>
    <row r="390" spans="3:9" x14ac:dyDescent="0.2">
      <c r="C390" s="14">
        <f t="shared" si="16"/>
        <v>44261</v>
      </c>
      <c r="D390" s="21">
        <v>26.2</v>
      </c>
      <c r="E390" s="21">
        <v>21.3</v>
      </c>
      <c r="F390" s="21">
        <v>27.8</v>
      </c>
      <c r="G390" s="21">
        <v>24.5</v>
      </c>
      <c r="H390" s="21">
        <v>24.8</v>
      </c>
      <c r="I390" s="22">
        <f t="shared" si="15"/>
        <v>25</v>
      </c>
    </row>
    <row r="391" spans="3:9" x14ac:dyDescent="0.2">
      <c r="C391" s="14">
        <f t="shared" si="16"/>
        <v>44262</v>
      </c>
      <c r="D391" s="21">
        <v>21.1</v>
      </c>
      <c r="E391" s="21">
        <v>18.2</v>
      </c>
      <c r="F391" s="21">
        <v>23.1</v>
      </c>
      <c r="G391" s="21">
        <v>20</v>
      </c>
      <c r="H391" s="21">
        <v>20.3</v>
      </c>
      <c r="I391" s="22">
        <f t="shared" si="15"/>
        <v>20</v>
      </c>
    </row>
    <row r="392" spans="3:9" x14ac:dyDescent="0.2">
      <c r="C392" s="14">
        <f t="shared" si="16"/>
        <v>44263</v>
      </c>
      <c r="D392" s="21">
        <v>19.100000000000001</v>
      </c>
      <c r="E392" s="21">
        <v>15.4</v>
      </c>
      <c r="F392" s="21">
        <v>20</v>
      </c>
      <c r="G392" s="21">
        <v>17</v>
      </c>
      <c r="H392" s="21">
        <v>17.899999999999999</v>
      </c>
      <c r="I392" s="22">
        <f t="shared" si="15"/>
        <v>18</v>
      </c>
    </row>
    <row r="393" spans="3:9" x14ac:dyDescent="0.2">
      <c r="C393" s="14">
        <f t="shared" si="16"/>
        <v>44264</v>
      </c>
      <c r="D393" s="21">
        <v>15.7</v>
      </c>
      <c r="E393" s="21">
        <v>10.8</v>
      </c>
      <c r="F393" s="21">
        <v>15.8</v>
      </c>
      <c r="G393" s="21">
        <v>14</v>
      </c>
      <c r="H393" s="21">
        <v>12.7</v>
      </c>
      <c r="I393" s="22">
        <f t="shared" si="15"/>
        <v>13</v>
      </c>
    </row>
    <row r="394" spans="3:9" x14ac:dyDescent="0.2">
      <c r="C394" s="14">
        <f t="shared" si="16"/>
        <v>44265</v>
      </c>
      <c r="D394" s="21">
        <v>14.1</v>
      </c>
      <c r="E394" s="21">
        <v>6.9</v>
      </c>
      <c r="F394" s="21">
        <v>13.1</v>
      </c>
      <c r="G394" s="21">
        <v>11.9</v>
      </c>
      <c r="H394" s="21">
        <v>12.3</v>
      </c>
      <c r="I394" s="22">
        <f t="shared" si="15"/>
        <v>12</v>
      </c>
    </row>
    <row r="395" spans="3:9" x14ac:dyDescent="0.2">
      <c r="C395" s="14">
        <f t="shared" si="16"/>
        <v>44266</v>
      </c>
      <c r="D395" s="21">
        <v>15.9</v>
      </c>
      <c r="E395" s="21">
        <v>12</v>
      </c>
      <c r="F395" s="21">
        <v>14</v>
      </c>
      <c r="G395" s="21">
        <v>12.9</v>
      </c>
      <c r="H395" s="21">
        <v>14</v>
      </c>
      <c r="I395" s="22">
        <f t="shared" si="15"/>
        <v>14</v>
      </c>
    </row>
    <row r="396" spans="3:9" x14ac:dyDescent="0.2">
      <c r="C396" s="14">
        <f t="shared" si="16"/>
        <v>44267</v>
      </c>
      <c r="D396" s="21">
        <v>16.7</v>
      </c>
      <c r="E396" s="21">
        <v>10.7</v>
      </c>
      <c r="F396" s="21">
        <v>17.3</v>
      </c>
      <c r="G396" s="21">
        <v>14.9</v>
      </c>
      <c r="H396" s="21">
        <v>15</v>
      </c>
      <c r="I396" s="22">
        <f t="shared" si="15"/>
        <v>15</v>
      </c>
    </row>
    <row r="397" spans="3:9" x14ac:dyDescent="0.2">
      <c r="C397" s="14">
        <f t="shared" si="16"/>
        <v>44268</v>
      </c>
      <c r="D397" s="21">
        <v>16.8</v>
      </c>
      <c r="E397" s="21">
        <v>12.6</v>
      </c>
      <c r="F397" s="21">
        <v>17.600000000000001</v>
      </c>
      <c r="G397" s="21">
        <v>15.5</v>
      </c>
      <c r="H397" s="21">
        <v>14.3</v>
      </c>
      <c r="I397" s="22">
        <f t="shared" si="15"/>
        <v>15</v>
      </c>
    </row>
    <row r="398" spans="3:9" x14ac:dyDescent="0.2">
      <c r="C398" s="14">
        <f t="shared" si="16"/>
        <v>44269</v>
      </c>
      <c r="D398" s="21">
        <v>17</v>
      </c>
      <c r="E398" s="21">
        <v>12.7</v>
      </c>
      <c r="F398" s="21">
        <v>18</v>
      </c>
      <c r="G398" s="21">
        <v>15.4</v>
      </c>
      <c r="H398" s="21">
        <v>15.6</v>
      </c>
      <c r="I398" s="22">
        <f t="shared" si="15"/>
        <v>16</v>
      </c>
    </row>
    <row r="399" spans="3:9" x14ac:dyDescent="0.2">
      <c r="C399" s="14">
        <f t="shared" si="16"/>
        <v>44270</v>
      </c>
      <c r="D399" s="21">
        <v>16.2</v>
      </c>
      <c r="E399" s="21">
        <v>10.6</v>
      </c>
      <c r="F399" s="21">
        <v>17</v>
      </c>
      <c r="G399" s="21">
        <v>14.5</v>
      </c>
      <c r="H399" s="21">
        <v>13.1</v>
      </c>
      <c r="I399" s="22">
        <f t="shared" si="15"/>
        <v>14</v>
      </c>
    </row>
    <row r="400" spans="3:9" x14ac:dyDescent="0.2">
      <c r="C400" s="14">
        <f t="shared" si="16"/>
        <v>44271</v>
      </c>
      <c r="D400" s="21">
        <v>16.399999999999999</v>
      </c>
      <c r="E400" s="21">
        <v>11.4</v>
      </c>
      <c r="F400" s="21">
        <v>17.3</v>
      </c>
      <c r="G400" s="21">
        <v>13.9</v>
      </c>
      <c r="H400" s="21">
        <v>15</v>
      </c>
      <c r="I400" s="22">
        <f t="shared" si="15"/>
        <v>15</v>
      </c>
    </row>
    <row r="401" spans="3:9" x14ac:dyDescent="0.2">
      <c r="C401" s="14">
        <f t="shared" si="16"/>
        <v>44272</v>
      </c>
      <c r="D401" s="21">
        <v>15.6</v>
      </c>
      <c r="E401" s="21">
        <v>9.6</v>
      </c>
      <c r="F401" s="21">
        <v>17</v>
      </c>
      <c r="G401" s="21">
        <v>14.1</v>
      </c>
      <c r="H401" s="21">
        <v>12.5</v>
      </c>
      <c r="I401" s="22">
        <f t="shared" si="15"/>
        <v>13</v>
      </c>
    </row>
    <row r="402" spans="3:9" x14ac:dyDescent="0.2">
      <c r="C402" s="14">
        <f t="shared" si="16"/>
        <v>44273</v>
      </c>
      <c r="D402" s="21">
        <v>17.100000000000001</v>
      </c>
      <c r="E402" s="21">
        <v>10.3</v>
      </c>
      <c r="F402" s="21">
        <v>16.100000000000001</v>
      </c>
      <c r="G402" s="21">
        <v>14.4</v>
      </c>
      <c r="H402" s="21">
        <v>14.2</v>
      </c>
      <c r="I402" s="22">
        <f t="shared" si="15"/>
        <v>14</v>
      </c>
    </row>
    <row r="403" spans="3:9" x14ac:dyDescent="0.2">
      <c r="C403" s="14">
        <f t="shared" si="16"/>
        <v>44274</v>
      </c>
      <c r="D403" s="21">
        <v>16</v>
      </c>
      <c r="E403" s="21">
        <v>10.5</v>
      </c>
      <c r="F403" s="21">
        <v>15.8</v>
      </c>
      <c r="G403" s="21">
        <v>14</v>
      </c>
      <c r="H403" s="21">
        <v>14.1</v>
      </c>
      <c r="I403" s="22">
        <f t="shared" si="15"/>
        <v>14</v>
      </c>
    </row>
    <row r="404" spans="3:9" x14ac:dyDescent="0.2">
      <c r="C404" s="14">
        <f t="shared" si="16"/>
        <v>44275</v>
      </c>
      <c r="D404" s="21">
        <v>15.2</v>
      </c>
      <c r="E404" s="21">
        <v>11.5</v>
      </c>
      <c r="F404" s="21">
        <v>16.7</v>
      </c>
      <c r="G404" s="21">
        <v>13.8</v>
      </c>
      <c r="H404" s="21">
        <v>14.2</v>
      </c>
      <c r="I404" s="22">
        <f t="shared" si="15"/>
        <v>14</v>
      </c>
    </row>
    <row r="405" spans="3:9" x14ac:dyDescent="0.2">
      <c r="C405" s="14">
        <f t="shared" si="16"/>
        <v>44276</v>
      </c>
      <c r="D405" s="21">
        <v>16</v>
      </c>
      <c r="E405" s="21">
        <v>12.6</v>
      </c>
      <c r="F405" s="21">
        <v>17.5</v>
      </c>
      <c r="G405" s="21">
        <v>15.4</v>
      </c>
      <c r="H405" s="21">
        <v>14.8</v>
      </c>
      <c r="I405" s="22">
        <f t="shared" si="15"/>
        <v>15</v>
      </c>
    </row>
    <row r="406" spans="3:9" x14ac:dyDescent="0.2">
      <c r="C406" s="14">
        <f t="shared" si="16"/>
        <v>44277</v>
      </c>
      <c r="D406" s="21">
        <v>16.100000000000001</v>
      </c>
      <c r="E406" s="21">
        <v>11.7</v>
      </c>
      <c r="F406" s="21">
        <v>17.8</v>
      </c>
      <c r="G406" s="21">
        <v>15.3</v>
      </c>
      <c r="H406" s="21">
        <v>13.5</v>
      </c>
      <c r="I406" s="22">
        <f t="shared" si="15"/>
        <v>14</v>
      </c>
    </row>
    <row r="407" spans="3:9" x14ac:dyDescent="0.2">
      <c r="C407" s="14">
        <f t="shared" si="16"/>
        <v>44278</v>
      </c>
      <c r="D407" s="21">
        <v>14.7</v>
      </c>
      <c r="E407" s="21">
        <v>9.1999999999999993</v>
      </c>
      <c r="F407" s="21">
        <v>15.9</v>
      </c>
      <c r="G407" s="21">
        <v>12.6</v>
      </c>
      <c r="H407" s="21">
        <v>11.7</v>
      </c>
      <c r="I407" s="22">
        <f t="shared" si="15"/>
        <v>12</v>
      </c>
    </row>
    <row r="408" spans="3:9" x14ac:dyDescent="0.2">
      <c r="C408" s="14">
        <f t="shared" si="16"/>
        <v>44279</v>
      </c>
      <c r="D408" s="21">
        <v>17.600000000000001</v>
      </c>
      <c r="E408" s="21">
        <v>10.9</v>
      </c>
      <c r="F408" s="21">
        <v>17.600000000000001</v>
      </c>
      <c r="G408" s="21">
        <v>15.4</v>
      </c>
      <c r="H408" s="21">
        <v>13.6</v>
      </c>
      <c r="I408" s="22">
        <f t="shared" si="15"/>
        <v>15</v>
      </c>
    </row>
    <row r="409" spans="3:9" x14ac:dyDescent="0.2">
      <c r="C409" s="14">
        <f t="shared" si="16"/>
        <v>44280</v>
      </c>
      <c r="D409" s="21">
        <v>17.3</v>
      </c>
      <c r="E409" s="21">
        <v>14.2</v>
      </c>
      <c r="F409" s="21">
        <v>18.600000000000001</v>
      </c>
      <c r="G409" s="21">
        <v>16.100000000000001</v>
      </c>
      <c r="H409" s="21">
        <v>15.3</v>
      </c>
      <c r="I409" s="22">
        <f t="shared" si="15"/>
        <v>16</v>
      </c>
    </row>
    <row r="410" spans="3:9" x14ac:dyDescent="0.2">
      <c r="C410" s="14">
        <f t="shared" si="16"/>
        <v>44281</v>
      </c>
      <c r="D410" s="21">
        <v>17.7</v>
      </c>
      <c r="E410" s="21">
        <v>12.8</v>
      </c>
      <c r="F410" s="21">
        <v>18.2</v>
      </c>
      <c r="G410" s="21">
        <v>15.4</v>
      </c>
      <c r="H410" s="21">
        <v>16.7</v>
      </c>
      <c r="I410" s="22">
        <f t="shared" si="15"/>
        <v>16</v>
      </c>
    </row>
    <row r="411" spans="3:9" x14ac:dyDescent="0.2">
      <c r="C411" s="14">
        <f t="shared" si="16"/>
        <v>44282</v>
      </c>
      <c r="D411" s="21">
        <v>14.2</v>
      </c>
      <c r="E411" s="21">
        <v>10.5</v>
      </c>
      <c r="F411" s="21">
        <v>14.8</v>
      </c>
      <c r="G411" s="21">
        <v>13.1</v>
      </c>
      <c r="H411" s="21">
        <v>12.3</v>
      </c>
      <c r="I411" s="22">
        <f t="shared" si="15"/>
        <v>13</v>
      </c>
    </row>
    <row r="412" spans="3:9" x14ac:dyDescent="0.2">
      <c r="C412" s="14">
        <f t="shared" si="16"/>
        <v>44283</v>
      </c>
      <c r="D412" s="21">
        <v>12.9</v>
      </c>
      <c r="E412" s="21">
        <v>8.1</v>
      </c>
      <c r="F412" s="21">
        <v>13</v>
      </c>
      <c r="G412" s="21">
        <v>10.7</v>
      </c>
      <c r="H412" s="21">
        <v>10.5</v>
      </c>
      <c r="I412" s="22">
        <f t="shared" si="15"/>
        <v>11</v>
      </c>
    </row>
    <row r="413" spans="3:9" x14ac:dyDescent="0.2">
      <c r="C413" s="14">
        <f t="shared" si="16"/>
        <v>44284</v>
      </c>
      <c r="D413" s="21">
        <v>12.2</v>
      </c>
      <c r="E413" s="21">
        <v>8.9</v>
      </c>
      <c r="F413" s="21">
        <v>14.6</v>
      </c>
      <c r="G413" s="21">
        <v>11</v>
      </c>
      <c r="H413" s="21">
        <v>11.3</v>
      </c>
      <c r="I413" s="22">
        <f t="shared" si="15"/>
        <v>11</v>
      </c>
    </row>
    <row r="414" spans="3:9" x14ac:dyDescent="0.2">
      <c r="C414" s="14">
        <f t="shared" si="16"/>
        <v>44285</v>
      </c>
      <c r="D414" s="21">
        <v>12</v>
      </c>
      <c r="E414" s="21">
        <v>9.1999999999999993</v>
      </c>
      <c r="F414" s="21">
        <v>12.5</v>
      </c>
      <c r="G414" s="21">
        <v>10.6</v>
      </c>
      <c r="H414" s="21">
        <v>11.4</v>
      </c>
      <c r="I414" s="22">
        <f t="shared" si="15"/>
        <v>11</v>
      </c>
    </row>
    <row r="415" spans="3:9" x14ac:dyDescent="0.2">
      <c r="C415" s="14">
        <f t="shared" si="16"/>
        <v>44286</v>
      </c>
      <c r="D415" s="21">
        <v>13</v>
      </c>
      <c r="E415" s="21">
        <v>10.4</v>
      </c>
      <c r="F415" s="21">
        <v>15.4</v>
      </c>
      <c r="G415" s="21">
        <v>11.5</v>
      </c>
      <c r="H415" s="21">
        <v>9.6999999999999993</v>
      </c>
      <c r="I415" s="22">
        <f t="shared" si="15"/>
        <v>12</v>
      </c>
    </row>
    <row r="416" spans="3:9" s="9" customFormat="1" x14ac:dyDescent="0.2">
      <c r="C416" s="23"/>
      <c r="D416" s="23"/>
      <c r="E416" s="23"/>
      <c r="F416" s="23"/>
      <c r="G416" s="23"/>
      <c r="H416" s="23"/>
      <c r="I416" s="23"/>
    </row>
    <row r="418" spans="4:9" x14ac:dyDescent="0.2">
      <c r="D418" s="6">
        <f t="shared" ref="D418:I418" si="17">SUM(D51:D417)</f>
        <v>4215.5999999999976</v>
      </c>
      <c r="E418" s="6">
        <f t="shared" si="17"/>
        <v>3210.7999999999993</v>
      </c>
      <c r="F418" s="6">
        <f t="shared" si="17"/>
        <v>4282.6000000000013</v>
      </c>
      <c r="G418" s="6">
        <f t="shared" si="17"/>
        <v>3795.6000000000008</v>
      </c>
      <c r="H418" s="6">
        <f t="shared" si="17"/>
        <v>3846.6</v>
      </c>
      <c r="I418" s="6">
        <f t="shared" si="17"/>
        <v>3848</v>
      </c>
    </row>
    <row r="419" spans="4:9" x14ac:dyDescent="0.2">
      <c r="D419" s="24"/>
      <c r="E419" s="24"/>
      <c r="F419" s="24"/>
      <c r="G419" s="24"/>
      <c r="H419" s="24"/>
    </row>
    <row r="420" spans="4:9" x14ac:dyDescent="0.2">
      <c r="D420" s="6"/>
      <c r="E420" s="6"/>
      <c r="F420" s="6"/>
      <c r="G420" s="6"/>
      <c r="H420" s="6"/>
      <c r="I420" s="6"/>
    </row>
    <row r="421" spans="4:9" x14ac:dyDescent="0.2">
      <c r="I421" s="22"/>
    </row>
    <row r="422" spans="4:9" x14ac:dyDescent="0.2">
      <c r="D422" s="24"/>
      <c r="E422" s="24"/>
      <c r="F422" s="24"/>
      <c r="G422" s="24"/>
      <c r="H422" s="24"/>
      <c r="I422" s="22"/>
    </row>
  </sheetData>
  <mergeCells count="3">
    <mergeCell ref="C3:I3"/>
    <mergeCell ref="D6:E6"/>
    <mergeCell ref="F6:G6"/>
  </mergeCells>
  <printOptions horizontalCentered="1"/>
  <pageMargins left="0.7" right="0.7" top="0.75" bottom="0.75" header="0.3" footer="0.3"/>
  <pageSetup scale="50" orientation="portrait" r:id="rId1"/>
  <headerFooter>
    <oddHeader>&amp;RCASE NO. 2021-00214
ATTACHMENT 3
TO STAFF DR NO. 3-09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9751-80E1-4EB4-93A3-98AECDE820FA}">
  <dimension ref="A1:I422"/>
  <sheetViews>
    <sheetView zoomScaleNormal="100" zoomScaleSheetLayoutView="100" workbookViewId="0"/>
  </sheetViews>
  <sheetFormatPr defaultColWidth="9.140625" defaultRowHeight="12.75" x14ac:dyDescent="0.2"/>
  <cols>
    <col min="1" max="1" width="7.5703125" style="2" customWidth="1"/>
    <col min="2" max="2" width="15.85546875" style="2" customWidth="1"/>
    <col min="3" max="3" width="16" style="10" customWidth="1"/>
    <col min="4" max="7" width="15.5703125" style="10" customWidth="1"/>
    <col min="8" max="8" width="14.140625" style="10" customWidth="1"/>
    <col min="9" max="9" width="13" style="10" customWidth="1"/>
    <col min="10" max="10" width="15.85546875" style="2" customWidth="1"/>
    <col min="11" max="11" width="14.5703125" style="2" bestFit="1" customWidth="1"/>
    <col min="12" max="16384" width="9.140625" style="2"/>
  </cols>
  <sheetData>
    <row r="1" spans="1:9" ht="15.75" x14ac:dyDescent="0.25">
      <c r="A1" s="1"/>
    </row>
    <row r="2" spans="1:9" ht="15.75" x14ac:dyDescent="0.25">
      <c r="A2" s="1"/>
    </row>
    <row r="3" spans="1:9" ht="18" x14ac:dyDescent="0.25">
      <c r="B3" s="3"/>
      <c r="C3" s="26" t="s">
        <v>24</v>
      </c>
      <c r="D3" s="27"/>
      <c r="E3" s="27"/>
      <c r="F3" s="27"/>
      <c r="G3" s="27"/>
      <c r="H3" s="27"/>
      <c r="I3" s="28"/>
    </row>
    <row r="6" spans="1:9" ht="26.25" thickBot="1" x14ac:dyDescent="0.25">
      <c r="D6" s="29" t="s">
        <v>0</v>
      </c>
      <c r="E6" s="29"/>
      <c r="F6" s="29" t="s">
        <v>23</v>
      </c>
      <c r="G6" s="29"/>
      <c r="H6" s="12" t="s">
        <v>1</v>
      </c>
      <c r="I6" s="12" t="s">
        <v>2</v>
      </c>
    </row>
    <row r="7" spans="1:9" ht="13.5" thickBot="1" x14ac:dyDescent="0.25">
      <c r="D7" s="13">
        <v>43922</v>
      </c>
      <c r="E7" s="14">
        <f>DATE(YEAR(D7),MONTH(D7)+1,0)</f>
        <v>43951</v>
      </c>
      <c r="F7" s="14">
        <f>DATE(YEAR(D7-1),MONTH(D7-1),16)</f>
        <v>43906</v>
      </c>
      <c r="G7" s="14">
        <f>DATE(YEAR(E7-1),MONTH(E7-1),15)</f>
        <v>43936</v>
      </c>
      <c r="H7" s="10" cm="1">
        <f t="array" ref="H7">SUMPRODUCT(-($C$35:$C$416&gt;=D7),-($C$35:$C$416&lt;=E7),($I$35:$I$416))</f>
        <v>219</v>
      </c>
      <c r="I7" s="10" cm="1">
        <f t="array" ref="I7">SUMPRODUCT(-($C$35:$C$416&gt;=F7),-($C$35:$C$416&lt;=G7),($I$35:$I$416))</f>
        <v>360</v>
      </c>
    </row>
    <row r="8" spans="1:9" x14ac:dyDescent="0.2">
      <c r="D8" s="14">
        <f>E7+1</f>
        <v>43952</v>
      </c>
      <c r="E8" s="14">
        <f>DATE(YEAR(D8),MONTH(D8)+1,0)</f>
        <v>43982</v>
      </c>
      <c r="F8" s="14">
        <f>G7+1</f>
        <v>43937</v>
      </c>
      <c r="G8" s="14">
        <f t="shared" ref="G8:G18" si="0">DATE(YEAR(E8-1),MONTH(E8-1),15)</f>
        <v>43966</v>
      </c>
      <c r="H8" s="10" cm="1">
        <f t="array" ref="H8">SUMPRODUCT(-($C$35:$C$416&gt;=D8),-($C$35:$C$416&lt;=E8),($I$35:$I$416))</f>
        <v>64</v>
      </c>
      <c r="I8" s="10" cm="1">
        <f t="array" ref="I8">SUMPRODUCT(-($C$35:$C$416&gt;=F8),-($C$35:$C$416&lt;=G8),($I$35:$I$416))</f>
        <v>127</v>
      </c>
    </row>
    <row r="9" spans="1:9" x14ac:dyDescent="0.2">
      <c r="D9" s="14">
        <f t="shared" ref="D9:D18" si="1">E8+1</f>
        <v>43983</v>
      </c>
      <c r="E9" s="14">
        <f t="shared" ref="E9:E18" si="2">DATE(YEAR(D9),MONTH(D9)+1,0)</f>
        <v>44012</v>
      </c>
      <c r="F9" s="14">
        <f t="shared" ref="F9:F18" si="3">G8+1</f>
        <v>43967</v>
      </c>
      <c r="G9" s="14">
        <f t="shared" si="0"/>
        <v>43997</v>
      </c>
      <c r="H9" s="10" cm="1">
        <f t="array" ref="H9">SUMPRODUCT(-($C$35:$C$416&gt;=D9),-($C$35:$C$416&lt;=E9),($I$35:$I$416))</f>
        <v>2</v>
      </c>
      <c r="I9" s="10" cm="1">
        <f t="array" ref="I9">SUMPRODUCT(-($C$35:$C$416&gt;=F9),-($C$35:$C$416&lt;=G9),($I$35:$I$416))</f>
        <v>21</v>
      </c>
    </row>
    <row r="10" spans="1:9" x14ac:dyDescent="0.2">
      <c r="D10" s="14">
        <f t="shared" si="1"/>
        <v>44013</v>
      </c>
      <c r="E10" s="14">
        <f t="shared" si="2"/>
        <v>44043</v>
      </c>
      <c r="F10" s="14">
        <f t="shared" si="3"/>
        <v>43998</v>
      </c>
      <c r="G10" s="14">
        <f t="shared" si="0"/>
        <v>44027</v>
      </c>
      <c r="H10" s="10" cm="1">
        <f t="array" ref="H10">SUMPRODUCT(-($C$35:$C$416&gt;=D10),-($C$35:$C$416&lt;=E10),($I$35:$I$416))</f>
        <v>0</v>
      </c>
      <c r="I10" s="10" cm="1">
        <f t="array" ref="I10">SUMPRODUCT(-($C$35:$C$416&gt;=F10),-($C$35:$C$416&lt;=G10),($I$35:$I$416))</f>
        <v>0</v>
      </c>
    </row>
    <row r="11" spans="1:9" x14ac:dyDescent="0.2">
      <c r="D11" s="14">
        <f t="shared" si="1"/>
        <v>44044</v>
      </c>
      <c r="E11" s="14">
        <f t="shared" si="2"/>
        <v>44074</v>
      </c>
      <c r="F11" s="14">
        <f t="shared" si="3"/>
        <v>44028</v>
      </c>
      <c r="G11" s="14">
        <f t="shared" si="0"/>
        <v>44058</v>
      </c>
      <c r="H11" s="10" cm="1">
        <f t="array" ref="H11">SUMPRODUCT(-($C$35:$C$416&gt;=D11),-($C$35:$C$416&lt;=E11),($I$35:$I$416))</f>
        <v>0</v>
      </c>
      <c r="I11" s="10" cm="1">
        <f t="array" ref="I11">SUMPRODUCT(-($C$35:$C$416&gt;=F11),-($C$35:$C$416&lt;=G11),($I$35:$I$416))</f>
        <v>0</v>
      </c>
    </row>
    <row r="12" spans="1:9" x14ac:dyDescent="0.2">
      <c r="D12" s="14">
        <f t="shared" si="1"/>
        <v>44075</v>
      </c>
      <c r="E12" s="14">
        <f t="shared" si="2"/>
        <v>44104</v>
      </c>
      <c r="F12" s="14">
        <f t="shared" si="3"/>
        <v>44059</v>
      </c>
      <c r="G12" s="14">
        <f t="shared" si="0"/>
        <v>44089</v>
      </c>
      <c r="H12" s="10" cm="1">
        <f t="array" ref="H12">SUMPRODUCT(-($C$35:$C$416&gt;=D12),-($C$35:$C$416&lt;=E12),($I$35:$I$416))</f>
        <v>18</v>
      </c>
      <c r="I12" s="10" cm="1">
        <f t="array" ref="I12">SUMPRODUCT(-($C$35:$C$416&gt;=F12),-($C$35:$C$416&lt;=G12),($I$35:$I$416))</f>
        <v>2</v>
      </c>
    </row>
    <row r="13" spans="1:9" x14ac:dyDescent="0.2">
      <c r="D13" s="14">
        <f t="shared" si="1"/>
        <v>44105</v>
      </c>
      <c r="E13" s="14">
        <f t="shared" si="2"/>
        <v>44135</v>
      </c>
      <c r="F13" s="14">
        <f t="shared" si="3"/>
        <v>44090</v>
      </c>
      <c r="G13" s="14">
        <f t="shared" si="0"/>
        <v>44119</v>
      </c>
      <c r="H13" s="10" cm="1">
        <f t="array" ref="H13">SUMPRODUCT(-($C$35:$C$416&gt;=D13),-($C$35:$C$416&lt;=E13),($I$35:$I$416))</f>
        <v>216</v>
      </c>
      <c r="I13" s="10" cm="1">
        <f t="array" ref="I13">SUMPRODUCT(-($C$35:$C$416&gt;=F13),-($C$35:$C$416&lt;=G13),($I$35:$I$416))</f>
        <v>78</v>
      </c>
    </row>
    <row r="14" spans="1:9" x14ac:dyDescent="0.2">
      <c r="D14" s="14">
        <f t="shared" si="1"/>
        <v>44136</v>
      </c>
      <c r="E14" s="14">
        <f t="shared" si="2"/>
        <v>44165</v>
      </c>
      <c r="F14" s="14">
        <f t="shared" si="3"/>
        <v>44120</v>
      </c>
      <c r="G14" s="14">
        <f t="shared" si="0"/>
        <v>44150</v>
      </c>
      <c r="H14" s="10" cm="1">
        <f t="array" ref="H14">SUMPRODUCT(-($C$35:$C$416&gt;=D14),-($C$35:$C$416&lt;=E14),($I$35:$I$416))</f>
        <v>506</v>
      </c>
      <c r="I14" s="10" cm="1">
        <f t="array" ref="I14">SUMPRODUCT(-($C$35:$C$416&gt;=F14),-($C$35:$C$416&lt;=G14),($I$35:$I$416))</f>
        <v>371</v>
      </c>
    </row>
    <row r="15" spans="1:9" x14ac:dyDescent="0.2">
      <c r="D15" s="14">
        <f t="shared" si="1"/>
        <v>44166</v>
      </c>
      <c r="E15" s="14">
        <f t="shared" si="2"/>
        <v>44196</v>
      </c>
      <c r="F15" s="14">
        <f t="shared" si="3"/>
        <v>44151</v>
      </c>
      <c r="G15" s="14">
        <f t="shared" si="0"/>
        <v>44180</v>
      </c>
      <c r="H15" s="10" cm="1">
        <f t="array" ref="H15">SUMPRODUCT(-($C$35:$C$416&gt;=D15),-($C$35:$C$416&lt;=E15),($I$35:$I$416))</f>
        <v>775</v>
      </c>
      <c r="I15" s="10" cm="1">
        <f t="array" ref="I15">SUMPRODUCT(-($C$35:$C$416&gt;=F15),-($C$35:$C$416&lt;=G15),($I$35:$I$416))</f>
        <v>661</v>
      </c>
    </row>
    <row r="16" spans="1:9" x14ac:dyDescent="0.2">
      <c r="D16" s="14">
        <f t="shared" si="1"/>
        <v>44197</v>
      </c>
      <c r="E16" s="14">
        <f t="shared" si="2"/>
        <v>44227</v>
      </c>
      <c r="F16" s="14">
        <f t="shared" si="3"/>
        <v>44181</v>
      </c>
      <c r="G16" s="14">
        <f t="shared" si="0"/>
        <v>44211</v>
      </c>
      <c r="H16" s="10" cm="1">
        <f t="array" ref="H16">SUMPRODUCT(-($C$35:$C$416&gt;=D16),-($C$35:$C$416&lt;=E16),($I$35:$I$416))</f>
        <v>896</v>
      </c>
      <c r="I16" s="10" cm="1">
        <f t="array" ref="I16">SUMPRODUCT(-($C$35:$C$416&gt;=F16),-($C$35:$C$416&lt;=G16),($I$35:$I$416))</f>
        <v>824</v>
      </c>
    </row>
    <row r="17" spans="3:9" x14ac:dyDescent="0.2">
      <c r="D17" s="14">
        <f t="shared" si="1"/>
        <v>44228</v>
      </c>
      <c r="E17" s="14">
        <f t="shared" si="2"/>
        <v>44255</v>
      </c>
      <c r="F17" s="14">
        <f t="shared" si="3"/>
        <v>44212</v>
      </c>
      <c r="G17" s="14">
        <f t="shared" si="0"/>
        <v>44242</v>
      </c>
      <c r="H17" s="10" cm="1">
        <f t="array" ref="H17">SUMPRODUCT(-($C$35:$C$416&gt;=D17),-($C$35:$C$416&lt;=E17),($I$35:$I$416))</f>
        <v>743</v>
      </c>
      <c r="I17" s="10" cm="1">
        <f t="array" ref="I17">SUMPRODUCT(-($C$35:$C$416&gt;=F17),-($C$35:$C$416&lt;=G17),($I$35:$I$416))</f>
        <v>901</v>
      </c>
    </row>
    <row r="18" spans="3:9" x14ac:dyDescent="0.2">
      <c r="D18" s="14">
        <f t="shared" si="1"/>
        <v>44256</v>
      </c>
      <c r="E18" s="14">
        <f t="shared" si="2"/>
        <v>44286</v>
      </c>
      <c r="F18" s="14">
        <f t="shared" si="3"/>
        <v>44243</v>
      </c>
      <c r="G18" s="14">
        <f t="shared" si="0"/>
        <v>44270</v>
      </c>
      <c r="H18" s="15" cm="1">
        <f t="array" ref="H18">SUMPRODUCT(-($C$35:$C$416&gt;=D18),-($C$35:$C$416&lt;=E18),($I$35:$I$416))</f>
        <v>504</v>
      </c>
      <c r="I18" s="15" cm="1">
        <f t="array" ref="I18">SUMPRODUCT(-($C$35:$C$416&gt;=F18),-($C$35:$C$416&lt;=G18),($I$35:$I$416))</f>
        <v>598</v>
      </c>
    </row>
    <row r="19" spans="3:9" x14ac:dyDescent="0.2">
      <c r="G19" s="10" t="s">
        <v>22</v>
      </c>
      <c r="H19" s="6">
        <f>SUM(H7:H18)</f>
        <v>3943</v>
      </c>
      <c r="I19" s="6">
        <f>SUM(I7:I18)</f>
        <v>3943</v>
      </c>
    </row>
    <row r="20" spans="3:9" x14ac:dyDescent="0.2">
      <c r="D20" s="11"/>
      <c r="E20" s="7"/>
      <c r="F20" s="11"/>
      <c r="G20" s="7"/>
      <c r="H20" s="11"/>
    </row>
    <row r="21" spans="3:9" x14ac:dyDescent="0.2">
      <c r="D21" s="11"/>
      <c r="E21" s="11"/>
      <c r="F21" s="11"/>
      <c r="G21" s="11"/>
      <c r="H21" s="11"/>
    </row>
    <row r="22" spans="3:9" x14ac:dyDescent="0.2">
      <c r="D22" s="11"/>
      <c r="E22" s="11"/>
      <c r="F22" s="11"/>
      <c r="G22" s="11"/>
      <c r="H22" s="11"/>
    </row>
    <row r="23" spans="3:9" x14ac:dyDescent="0.2">
      <c r="C23" s="16" t="s">
        <v>3</v>
      </c>
      <c r="D23" s="16" t="s">
        <v>4</v>
      </c>
      <c r="E23" s="16" t="s">
        <v>5</v>
      </c>
      <c r="F23" s="16" t="s">
        <v>6</v>
      </c>
      <c r="G23" s="16" t="s">
        <v>7</v>
      </c>
      <c r="H23" s="16" t="s">
        <v>8</v>
      </c>
      <c r="I23" s="16" t="s">
        <v>9</v>
      </c>
    </row>
    <row r="24" spans="3:9" x14ac:dyDescent="0.2">
      <c r="C24" s="10" t="s">
        <v>10</v>
      </c>
      <c r="D24" s="6">
        <v>39219.583333333321</v>
      </c>
      <c r="E24" s="6">
        <v>36799.166666666664</v>
      </c>
      <c r="F24" s="6">
        <v>21396.083333333336</v>
      </c>
      <c r="G24" s="6">
        <v>7599.25</v>
      </c>
      <c r="H24" s="6">
        <v>54510.666666666657</v>
      </c>
      <c r="I24" s="6">
        <f>SUM(D24:H24)</f>
        <v>159524.74999999997</v>
      </c>
    </row>
    <row r="25" spans="3:9" x14ac:dyDescent="0.2">
      <c r="C25" s="10" t="s">
        <v>11</v>
      </c>
      <c r="D25" s="6">
        <v>3473.9999999999991</v>
      </c>
      <c r="E25" s="6">
        <v>4627.583333333333</v>
      </c>
      <c r="F25" s="6">
        <v>2741.75</v>
      </c>
      <c r="G25" s="6">
        <v>716.1</v>
      </c>
      <c r="H25" s="6">
        <v>6538.3333333333348</v>
      </c>
      <c r="I25" s="6">
        <f>SUM(D25:H25)</f>
        <v>18097.766666666666</v>
      </c>
    </row>
    <row r="26" spans="3:9" x14ac:dyDescent="0.2">
      <c r="C26" s="15" t="s">
        <v>12</v>
      </c>
      <c r="D26" s="8">
        <v>245.00000000000003</v>
      </c>
      <c r="E26" s="8">
        <v>372.5</v>
      </c>
      <c r="F26" s="8">
        <v>344.00757575757569</v>
      </c>
      <c r="G26" s="8">
        <v>42.083333333333329</v>
      </c>
      <c r="H26" s="8">
        <v>530.83333333333326</v>
      </c>
      <c r="I26" s="8">
        <f>SUM(D26:H26)</f>
        <v>1534.4242424242425</v>
      </c>
    </row>
    <row r="27" spans="3:9" x14ac:dyDescent="0.2">
      <c r="C27" s="10" t="s">
        <v>9</v>
      </c>
      <c r="D27" s="6">
        <f>SUM(D24:D26)</f>
        <v>42938.583333333321</v>
      </c>
      <c r="E27" s="6">
        <f>SUM(E24:E26)</f>
        <v>41799.25</v>
      </c>
      <c r="F27" s="6">
        <f>SUM(F24:F26)</f>
        <v>24481.840909090912</v>
      </c>
      <c r="G27" s="6">
        <f>SUM(G24:G26)</f>
        <v>8357.4333333333343</v>
      </c>
      <c r="H27" s="6">
        <f>SUM(H24:H26)</f>
        <v>61579.833333333328</v>
      </c>
      <c r="I27" s="6">
        <f>SUM(D27:H27)</f>
        <v>179156.94090909089</v>
      </c>
    </row>
    <row r="29" spans="3:9" x14ac:dyDescent="0.2">
      <c r="C29" s="17" t="s">
        <v>13</v>
      </c>
      <c r="D29" s="18">
        <f>D27/$I$27</f>
        <v>0.23967021939228986</v>
      </c>
      <c r="E29" s="18">
        <f>E27/$I$27</f>
        <v>0.2333108044148291</v>
      </c>
      <c r="F29" s="18">
        <f>F27/$I$27</f>
        <v>0.13665025080727219</v>
      </c>
      <c r="G29" s="18">
        <f>G27/$I$27</f>
        <v>4.6648671778639732E-2</v>
      </c>
      <c r="H29" s="18">
        <f>H27/$I$27</f>
        <v>0.34372005360696917</v>
      </c>
    </row>
    <row r="30" spans="3:9" x14ac:dyDescent="0.2">
      <c r="D30" s="11"/>
      <c r="E30" s="11"/>
      <c r="F30" s="11"/>
      <c r="G30" s="11"/>
      <c r="H30" s="11"/>
    </row>
    <row r="31" spans="3:9" x14ac:dyDescent="0.2">
      <c r="D31" s="11"/>
      <c r="E31" s="11"/>
      <c r="F31" s="11"/>
      <c r="G31" s="11"/>
      <c r="H31" s="11"/>
    </row>
    <row r="33" spans="3:9" ht="51" x14ac:dyDescent="0.2">
      <c r="C33" s="19" t="s">
        <v>14</v>
      </c>
      <c r="D33" s="20" t="s">
        <v>15</v>
      </c>
      <c r="E33" s="20" t="s">
        <v>16</v>
      </c>
      <c r="F33" s="20" t="s">
        <v>17</v>
      </c>
      <c r="G33" s="20" t="s">
        <v>18</v>
      </c>
      <c r="H33" s="20" t="s">
        <v>19</v>
      </c>
      <c r="I33" s="15" t="s">
        <v>20</v>
      </c>
    </row>
    <row r="34" spans="3:9" x14ac:dyDescent="0.2">
      <c r="D34" s="12"/>
      <c r="E34" s="12"/>
      <c r="F34" s="12"/>
      <c r="G34" s="12"/>
      <c r="H34" s="12"/>
    </row>
    <row r="35" spans="3:9" x14ac:dyDescent="0.2">
      <c r="C35" s="25">
        <f>F7</f>
        <v>43906</v>
      </c>
      <c r="D35" s="21">
        <v>16.95</v>
      </c>
      <c r="E35" s="21">
        <v>12.7</v>
      </c>
      <c r="F35" s="21">
        <v>18.149999999999999</v>
      </c>
      <c r="G35" s="21">
        <v>15</v>
      </c>
      <c r="H35" s="21">
        <v>15.35</v>
      </c>
      <c r="I35" s="22">
        <f t="shared" ref="I35:I98" si="4">IFERROR(ROUND((D35*D$29)+(E35*E$29)+(F35*F$29)+(G35*G$29)+(H35*H$29),0),0)</f>
        <v>15</v>
      </c>
    </row>
    <row r="36" spans="3:9" x14ac:dyDescent="0.2">
      <c r="C36" s="25">
        <f>C35+1</f>
        <v>43907</v>
      </c>
      <c r="D36" s="21">
        <v>17.149999999999999</v>
      </c>
      <c r="E36" s="21">
        <v>12.2</v>
      </c>
      <c r="F36" s="21">
        <v>18.350000000000001</v>
      </c>
      <c r="G36" s="21">
        <v>15.4</v>
      </c>
      <c r="H36" s="21">
        <v>14.85</v>
      </c>
      <c r="I36" s="22">
        <f t="shared" si="4"/>
        <v>15</v>
      </c>
    </row>
    <row r="37" spans="3:9" x14ac:dyDescent="0.2">
      <c r="C37" s="25">
        <f t="shared" ref="C37:C100" si="5">C36+1</f>
        <v>43908</v>
      </c>
      <c r="D37" s="21">
        <v>16.649999999999999</v>
      </c>
      <c r="E37" s="21">
        <v>11.1</v>
      </c>
      <c r="F37" s="21">
        <v>16.25</v>
      </c>
      <c r="G37" s="21">
        <v>14.2</v>
      </c>
      <c r="H37" s="21">
        <v>13.75</v>
      </c>
      <c r="I37" s="22">
        <f t="shared" si="4"/>
        <v>14</v>
      </c>
    </row>
    <row r="38" spans="3:9" x14ac:dyDescent="0.2">
      <c r="C38" s="25">
        <f t="shared" si="5"/>
        <v>43909</v>
      </c>
      <c r="D38" s="21">
        <v>15.95</v>
      </c>
      <c r="E38" s="21">
        <v>10.9</v>
      </c>
      <c r="F38" s="21">
        <v>16.7</v>
      </c>
      <c r="G38" s="21">
        <v>14.8</v>
      </c>
      <c r="H38" s="21">
        <v>13.9</v>
      </c>
      <c r="I38" s="22">
        <f t="shared" si="4"/>
        <v>14</v>
      </c>
    </row>
    <row r="39" spans="3:9" x14ac:dyDescent="0.2">
      <c r="C39" s="25">
        <f t="shared" si="5"/>
        <v>43910</v>
      </c>
      <c r="D39" s="21">
        <v>15.85</v>
      </c>
      <c r="E39" s="21">
        <v>11.4</v>
      </c>
      <c r="F39" s="21">
        <v>16.7</v>
      </c>
      <c r="G39" s="21">
        <v>14</v>
      </c>
      <c r="H39" s="21">
        <v>13.95</v>
      </c>
      <c r="I39" s="22">
        <f t="shared" si="4"/>
        <v>14</v>
      </c>
    </row>
    <row r="40" spans="3:9" x14ac:dyDescent="0.2">
      <c r="C40" s="25">
        <f t="shared" si="5"/>
        <v>43911</v>
      </c>
      <c r="D40" s="21">
        <v>16.899999999999999</v>
      </c>
      <c r="E40" s="21">
        <v>13.9</v>
      </c>
      <c r="F40" s="21">
        <v>18.399999999999999</v>
      </c>
      <c r="G40" s="21">
        <v>15.9</v>
      </c>
      <c r="H40" s="21">
        <v>15.85</v>
      </c>
      <c r="I40" s="22">
        <f t="shared" si="4"/>
        <v>16</v>
      </c>
    </row>
    <row r="41" spans="3:9" x14ac:dyDescent="0.2">
      <c r="C41" s="25">
        <f t="shared" si="5"/>
        <v>43912</v>
      </c>
      <c r="D41" s="21">
        <v>18.649999999999999</v>
      </c>
      <c r="E41" s="21">
        <v>14.05</v>
      </c>
      <c r="F41" s="21">
        <v>20.100000000000001</v>
      </c>
      <c r="G41" s="21">
        <v>17.45</v>
      </c>
      <c r="H41" s="21">
        <v>15.9</v>
      </c>
      <c r="I41" s="22">
        <f t="shared" si="4"/>
        <v>17</v>
      </c>
    </row>
    <row r="42" spans="3:9" x14ac:dyDescent="0.2">
      <c r="C42" s="25">
        <f t="shared" si="5"/>
        <v>43913</v>
      </c>
      <c r="D42" s="21">
        <v>16.25</v>
      </c>
      <c r="E42" s="21">
        <v>11.75</v>
      </c>
      <c r="F42" s="21">
        <v>17.399999999999999</v>
      </c>
      <c r="G42" s="21">
        <v>14.5</v>
      </c>
      <c r="H42" s="21">
        <v>14</v>
      </c>
      <c r="I42" s="22">
        <f t="shared" si="4"/>
        <v>15</v>
      </c>
    </row>
    <row r="43" spans="3:9" x14ac:dyDescent="0.2">
      <c r="C43" s="25">
        <f t="shared" si="5"/>
        <v>43914</v>
      </c>
      <c r="D43" s="21">
        <v>15.9</v>
      </c>
      <c r="E43" s="21">
        <v>11.5</v>
      </c>
      <c r="F43" s="21">
        <v>16.3</v>
      </c>
      <c r="G43" s="21">
        <v>14.05</v>
      </c>
      <c r="H43" s="21">
        <v>13.2</v>
      </c>
      <c r="I43" s="22">
        <f t="shared" si="4"/>
        <v>14</v>
      </c>
    </row>
    <row r="44" spans="3:9" x14ac:dyDescent="0.2">
      <c r="C44" s="25">
        <f t="shared" si="5"/>
        <v>43915</v>
      </c>
      <c r="D44" s="21">
        <v>15.75</v>
      </c>
      <c r="E44" s="21">
        <v>12.3</v>
      </c>
      <c r="F44" s="21">
        <v>16</v>
      </c>
      <c r="G44" s="21">
        <v>14.2</v>
      </c>
      <c r="H44" s="21">
        <v>13.85</v>
      </c>
      <c r="I44" s="22">
        <f t="shared" si="4"/>
        <v>14</v>
      </c>
    </row>
    <row r="45" spans="3:9" x14ac:dyDescent="0.2">
      <c r="C45" s="25">
        <f t="shared" si="5"/>
        <v>43916</v>
      </c>
      <c r="D45" s="21">
        <v>16.75</v>
      </c>
      <c r="E45" s="21">
        <v>11.9</v>
      </c>
      <c r="F45" s="21">
        <v>17.350000000000001</v>
      </c>
      <c r="G45" s="21">
        <v>15.05</v>
      </c>
      <c r="H45" s="21">
        <v>15.65</v>
      </c>
      <c r="I45" s="22">
        <f t="shared" si="4"/>
        <v>15</v>
      </c>
    </row>
    <row r="46" spans="3:9" x14ac:dyDescent="0.2">
      <c r="C46" s="25">
        <f t="shared" si="5"/>
        <v>43917</v>
      </c>
      <c r="D46" s="21">
        <v>14.35</v>
      </c>
      <c r="E46" s="21">
        <v>10.85</v>
      </c>
      <c r="F46" s="21">
        <v>14.6</v>
      </c>
      <c r="G46" s="21">
        <v>13.25</v>
      </c>
      <c r="H46" s="21">
        <v>12.45</v>
      </c>
      <c r="I46" s="22">
        <f t="shared" si="4"/>
        <v>13</v>
      </c>
    </row>
    <row r="47" spans="3:9" x14ac:dyDescent="0.2">
      <c r="C47" s="25">
        <f t="shared" si="5"/>
        <v>43918</v>
      </c>
      <c r="D47" s="21">
        <v>13</v>
      </c>
      <c r="E47" s="21">
        <v>8.65</v>
      </c>
      <c r="F47" s="21">
        <v>12.55</v>
      </c>
      <c r="G47" s="21">
        <v>10.55</v>
      </c>
      <c r="H47" s="21">
        <v>10.65</v>
      </c>
      <c r="I47" s="22">
        <f t="shared" si="4"/>
        <v>11</v>
      </c>
    </row>
    <row r="48" spans="3:9" x14ac:dyDescent="0.2">
      <c r="C48" s="25">
        <f t="shared" si="5"/>
        <v>43919</v>
      </c>
      <c r="D48" s="21">
        <v>13.6</v>
      </c>
      <c r="E48" s="21">
        <v>10.3</v>
      </c>
      <c r="F48" s="21">
        <v>15.15</v>
      </c>
      <c r="G48" s="21">
        <v>12.45</v>
      </c>
      <c r="H48" s="21">
        <v>12.55</v>
      </c>
      <c r="I48" s="22">
        <f t="shared" si="4"/>
        <v>13</v>
      </c>
    </row>
    <row r="49" spans="3:9" x14ac:dyDescent="0.2">
      <c r="C49" s="25">
        <f t="shared" si="5"/>
        <v>43920</v>
      </c>
      <c r="D49" s="21">
        <v>12.7</v>
      </c>
      <c r="E49" s="21">
        <v>10.45</v>
      </c>
      <c r="F49" s="21">
        <v>13.15</v>
      </c>
      <c r="G49" s="21">
        <v>11.5</v>
      </c>
      <c r="H49" s="21">
        <v>11.75</v>
      </c>
      <c r="I49" s="22">
        <f t="shared" si="4"/>
        <v>12</v>
      </c>
    </row>
    <row r="50" spans="3:9" x14ac:dyDescent="0.2">
      <c r="C50" s="25">
        <f t="shared" si="5"/>
        <v>43921</v>
      </c>
      <c r="D50" s="21">
        <v>11.5</v>
      </c>
      <c r="E50" s="21">
        <v>9.8000000000000007</v>
      </c>
      <c r="F50" s="21">
        <v>13.5</v>
      </c>
      <c r="G50" s="21">
        <v>10.199999999999999</v>
      </c>
      <c r="H50" s="21">
        <v>9.4</v>
      </c>
      <c r="I50" s="22">
        <f t="shared" si="4"/>
        <v>11</v>
      </c>
    </row>
    <row r="51" spans="3:9" x14ac:dyDescent="0.2">
      <c r="C51" s="25">
        <f t="shared" si="5"/>
        <v>43922</v>
      </c>
      <c r="D51" s="21">
        <v>13.1</v>
      </c>
      <c r="E51" s="21">
        <v>8.6999999999999993</v>
      </c>
      <c r="F51" s="21">
        <v>14.2</v>
      </c>
      <c r="G51" s="21">
        <v>11.3</v>
      </c>
      <c r="H51" s="21">
        <v>11.1</v>
      </c>
      <c r="I51" s="22">
        <f t="shared" si="4"/>
        <v>11</v>
      </c>
    </row>
    <row r="52" spans="3:9" x14ac:dyDescent="0.2">
      <c r="C52" s="25">
        <f t="shared" si="5"/>
        <v>43923</v>
      </c>
      <c r="D52" s="21">
        <v>10.5</v>
      </c>
      <c r="E52" s="21">
        <v>6.8</v>
      </c>
      <c r="F52" s="21">
        <v>11.7</v>
      </c>
      <c r="G52" s="21">
        <v>9.0500000000000007</v>
      </c>
      <c r="H52" s="21">
        <v>8.65</v>
      </c>
      <c r="I52" s="22">
        <f t="shared" si="4"/>
        <v>9</v>
      </c>
    </row>
    <row r="53" spans="3:9" x14ac:dyDescent="0.2">
      <c r="C53" s="25">
        <f t="shared" si="5"/>
        <v>43924</v>
      </c>
      <c r="D53" s="21">
        <v>10.15</v>
      </c>
      <c r="E53" s="21">
        <v>6.35</v>
      </c>
      <c r="F53" s="21">
        <v>9.9499999999999993</v>
      </c>
      <c r="G53" s="21">
        <v>7.8</v>
      </c>
      <c r="H53" s="21">
        <v>8</v>
      </c>
      <c r="I53" s="22">
        <f t="shared" si="4"/>
        <v>8</v>
      </c>
    </row>
    <row r="54" spans="3:9" x14ac:dyDescent="0.2">
      <c r="C54" s="25">
        <f t="shared" si="5"/>
        <v>43925</v>
      </c>
      <c r="D54" s="21">
        <v>12.4</v>
      </c>
      <c r="E54" s="21">
        <v>8.35</v>
      </c>
      <c r="F54" s="21">
        <v>12.25</v>
      </c>
      <c r="G54" s="21">
        <v>9.8000000000000007</v>
      </c>
      <c r="H54" s="21">
        <v>10.4</v>
      </c>
      <c r="I54" s="22">
        <f t="shared" si="4"/>
        <v>11</v>
      </c>
    </row>
    <row r="55" spans="3:9" x14ac:dyDescent="0.2">
      <c r="C55" s="25">
        <f t="shared" si="5"/>
        <v>43926</v>
      </c>
      <c r="D55" s="21">
        <v>13.65</v>
      </c>
      <c r="E55" s="21">
        <v>9.9</v>
      </c>
      <c r="F55" s="21">
        <v>14.2</v>
      </c>
      <c r="G55" s="21">
        <v>12</v>
      </c>
      <c r="H55" s="21">
        <v>12.4</v>
      </c>
      <c r="I55" s="22">
        <f t="shared" si="4"/>
        <v>12</v>
      </c>
    </row>
    <row r="56" spans="3:9" x14ac:dyDescent="0.2">
      <c r="C56" s="25">
        <f t="shared" si="5"/>
        <v>43927</v>
      </c>
      <c r="D56" s="21">
        <v>12.25</v>
      </c>
      <c r="E56" s="21">
        <v>9.5500000000000007</v>
      </c>
      <c r="F56" s="21">
        <v>13.15</v>
      </c>
      <c r="G56" s="21">
        <v>10.65</v>
      </c>
      <c r="H56" s="21">
        <v>10.25</v>
      </c>
      <c r="I56" s="22">
        <f t="shared" si="4"/>
        <v>11</v>
      </c>
    </row>
    <row r="57" spans="3:9" x14ac:dyDescent="0.2">
      <c r="C57" s="25">
        <f t="shared" si="5"/>
        <v>43928</v>
      </c>
      <c r="D57" s="21">
        <v>9.6999999999999993</v>
      </c>
      <c r="E57" s="21">
        <v>6.9</v>
      </c>
      <c r="F57" s="21">
        <v>9.9</v>
      </c>
      <c r="G57" s="21">
        <v>8.4</v>
      </c>
      <c r="H57" s="21">
        <v>8.3000000000000007</v>
      </c>
      <c r="I57" s="22">
        <f t="shared" si="4"/>
        <v>9</v>
      </c>
    </row>
    <row r="58" spans="3:9" x14ac:dyDescent="0.2">
      <c r="C58" s="25">
        <f t="shared" si="5"/>
        <v>43929</v>
      </c>
      <c r="D58" s="21">
        <v>9.85</v>
      </c>
      <c r="E58" s="21">
        <v>7.4</v>
      </c>
      <c r="F58" s="21">
        <v>10.35</v>
      </c>
      <c r="G58" s="21">
        <v>8.35</v>
      </c>
      <c r="H58" s="21">
        <v>9.15</v>
      </c>
      <c r="I58" s="22">
        <f t="shared" si="4"/>
        <v>9</v>
      </c>
    </row>
    <row r="59" spans="3:9" x14ac:dyDescent="0.2">
      <c r="C59" s="25">
        <f t="shared" si="5"/>
        <v>43930</v>
      </c>
      <c r="D59" s="21">
        <v>11.15</v>
      </c>
      <c r="E59" s="21">
        <v>7.45</v>
      </c>
      <c r="F59" s="21">
        <v>12</v>
      </c>
      <c r="G59" s="21">
        <v>9.8000000000000007</v>
      </c>
      <c r="H59" s="21">
        <v>9.6999999999999993</v>
      </c>
      <c r="I59" s="22">
        <f t="shared" si="4"/>
        <v>10</v>
      </c>
    </row>
    <row r="60" spans="3:9" x14ac:dyDescent="0.2">
      <c r="C60" s="25">
        <f t="shared" si="5"/>
        <v>43931</v>
      </c>
      <c r="D60" s="21">
        <v>8.5</v>
      </c>
      <c r="E60" s="21">
        <v>6.75</v>
      </c>
      <c r="F60" s="21">
        <v>9.9</v>
      </c>
      <c r="G60" s="21">
        <v>7.75</v>
      </c>
      <c r="H60" s="21">
        <v>7.3</v>
      </c>
      <c r="I60" s="22">
        <f t="shared" si="4"/>
        <v>8</v>
      </c>
    </row>
    <row r="61" spans="3:9" x14ac:dyDescent="0.2">
      <c r="C61" s="25">
        <f t="shared" si="5"/>
        <v>43932</v>
      </c>
      <c r="D61" s="21">
        <v>7.4</v>
      </c>
      <c r="E61" s="21">
        <v>4.9000000000000004</v>
      </c>
      <c r="F61" s="21">
        <v>7.45</v>
      </c>
      <c r="G61" s="21">
        <v>5.45</v>
      </c>
      <c r="H61" s="21">
        <v>6.9</v>
      </c>
      <c r="I61" s="22">
        <f t="shared" si="4"/>
        <v>7</v>
      </c>
    </row>
    <row r="62" spans="3:9" x14ac:dyDescent="0.2">
      <c r="C62" s="25">
        <f t="shared" si="5"/>
        <v>43933</v>
      </c>
      <c r="D62" s="21">
        <v>9</v>
      </c>
      <c r="E62" s="21">
        <v>5.45</v>
      </c>
      <c r="F62" s="21">
        <v>8.9499999999999993</v>
      </c>
      <c r="G62" s="21">
        <v>7.3</v>
      </c>
      <c r="H62" s="21">
        <v>7.95</v>
      </c>
      <c r="I62" s="22">
        <f t="shared" si="4"/>
        <v>8</v>
      </c>
    </row>
    <row r="63" spans="3:9" x14ac:dyDescent="0.2">
      <c r="C63" s="25">
        <f t="shared" si="5"/>
        <v>43934</v>
      </c>
      <c r="D63" s="21">
        <v>8.9</v>
      </c>
      <c r="E63" s="21">
        <v>6.35</v>
      </c>
      <c r="F63" s="21">
        <v>9.6999999999999993</v>
      </c>
      <c r="G63" s="21">
        <v>7.8</v>
      </c>
      <c r="H63" s="21">
        <v>8.15</v>
      </c>
      <c r="I63" s="22">
        <f t="shared" si="4"/>
        <v>8</v>
      </c>
    </row>
    <row r="64" spans="3:9" x14ac:dyDescent="0.2">
      <c r="C64" s="25">
        <f t="shared" si="5"/>
        <v>43935</v>
      </c>
      <c r="D64" s="21">
        <v>8.4499999999999993</v>
      </c>
      <c r="E64" s="21">
        <v>5.45</v>
      </c>
      <c r="F64" s="21">
        <v>8.5</v>
      </c>
      <c r="G64" s="21">
        <v>6.7</v>
      </c>
      <c r="H64" s="21">
        <v>8.1999999999999993</v>
      </c>
      <c r="I64" s="22">
        <f t="shared" si="4"/>
        <v>8</v>
      </c>
    </row>
    <row r="65" spans="3:9" x14ac:dyDescent="0.2">
      <c r="C65" s="25">
        <f t="shared" si="5"/>
        <v>43936</v>
      </c>
      <c r="D65" s="21">
        <v>8.85</v>
      </c>
      <c r="E65" s="21">
        <v>7.05</v>
      </c>
      <c r="F65" s="21">
        <v>9.8000000000000007</v>
      </c>
      <c r="G65" s="21">
        <v>7.85</v>
      </c>
      <c r="H65" s="21">
        <v>7.8</v>
      </c>
      <c r="I65" s="22">
        <f t="shared" si="4"/>
        <v>8</v>
      </c>
    </row>
    <row r="66" spans="3:9" x14ac:dyDescent="0.2">
      <c r="C66" s="25">
        <f t="shared" si="5"/>
        <v>43937</v>
      </c>
      <c r="D66" s="21">
        <v>8</v>
      </c>
      <c r="E66" s="21">
        <v>6.3</v>
      </c>
      <c r="F66" s="21">
        <v>8.6999999999999993</v>
      </c>
      <c r="G66" s="21">
        <v>6.8</v>
      </c>
      <c r="H66" s="21">
        <v>6.75</v>
      </c>
      <c r="I66" s="22">
        <f t="shared" si="4"/>
        <v>7</v>
      </c>
    </row>
    <row r="67" spans="3:9" x14ac:dyDescent="0.2">
      <c r="C67" s="25">
        <f t="shared" si="5"/>
        <v>43938</v>
      </c>
      <c r="D67" s="21">
        <v>6.45</v>
      </c>
      <c r="E67" s="21">
        <v>4.5</v>
      </c>
      <c r="F67" s="21">
        <v>7.8</v>
      </c>
      <c r="G67" s="21">
        <v>5.55</v>
      </c>
      <c r="H67" s="21">
        <v>5.15</v>
      </c>
      <c r="I67" s="22">
        <f t="shared" si="4"/>
        <v>6</v>
      </c>
    </row>
    <row r="68" spans="3:9" x14ac:dyDescent="0.2">
      <c r="C68" s="25">
        <f t="shared" si="5"/>
        <v>43939</v>
      </c>
      <c r="D68" s="21">
        <v>5.55</v>
      </c>
      <c r="E68" s="21">
        <v>3.1</v>
      </c>
      <c r="F68" s="21">
        <v>5.8</v>
      </c>
      <c r="G68" s="21">
        <v>4</v>
      </c>
      <c r="H68" s="21">
        <v>4.7</v>
      </c>
      <c r="I68" s="22">
        <f t="shared" si="4"/>
        <v>5</v>
      </c>
    </row>
    <row r="69" spans="3:9" x14ac:dyDescent="0.2">
      <c r="C69" s="25">
        <f t="shared" si="5"/>
        <v>43940</v>
      </c>
      <c r="D69" s="21">
        <v>6.95</v>
      </c>
      <c r="E69" s="21">
        <v>5.35</v>
      </c>
      <c r="F69" s="21">
        <v>6.85</v>
      </c>
      <c r="G69" s="21">
        <v>5.55</v>
      </c>
      <c r="H69" s="21">
        <v>6.05</v>
      </c>
      <c r="I69" s="22">
        <f t="shared" si="4"/>
        <v>6</v>
      </c>
    </row>
    <row r="70" spans="3:9" x14ac:dyDescent="0.2">
      <c r="C70" s="25">
        <f t="shared" si="5"/>
        <v>43941</v>
      </c>
      <c r="D70" s="21">
        <v>6.25</v>
      </c>
      <c r="E70" s="21">
        <v>4.6500000000000004</v>
      </c>
      <c r="F70" s="21">
        <v>7.2</v>
      </c>
      <c r="G70" s="21">
        <v>5.95</v>
      </c>
      <c r="H70" s="21">
        <v>5.3</v>
      </c>
      <c r="I70" s="22">
        <f t="shared" si="4"/>
        <v>6</v>
      </c>
    </row>
    <row r="71" spans="3:9" x14ac:dyDescent="0.2">
      <c r="C71" s="25">
        <f t="shared" si="5"/>
        <v>43942</v>
      </c>
      <c r="D71" s="21">
        <v>7.15</v>
      </c>
      <c r="E71" s="21">
        <v>4.5999999999999996</v>
      </c>
      <c r="F71" s="21">
        <v>7.75</v>
      </c>
      <c r="G71" s="21">
        <v>5.7</v>
      </c>
      <c r="H71" s="21">
        <v>5.85</v>
      </c>
      <c r="I71" s="22">
        <f t="shared" si="4"/>
        <v>6</v>
      </c>
    </row>
    <row r="72" spans="3:9" x14ac:dyDescent="0.2">
      <c r="C72" s="25">
        <f t="shared" si="5"/>
        <v>43943</v>
      </c>
      <c r="D72" s="21">
        <v>6.3</v>
      </c>
      <c r="E72" s="21">
        <v>3.7</v>
      </c>
      <c r="F72" s="21">
        <v>8.4499999999999993</v>
      </c>
      <c r="G72" s="21">
        <v>5.15</v>
      </c>
      <c r="H72" s="21">
        <v>5.0999999999999996</v>
      </c>
      <c r="I72" s="22">
        <f t="shared" si="4"/>
        <v>6</v>
      </c>
    </row>
    <row r="73" spans="3:9" x14ac:dyDescent="0.2">
      <c r="C73" s="25">
        <f t="shared" si="5"/>
        <v>43944</v>
      </c>
      <c r="D73" s="21">
        <v>6.5</v>
      </c>
      <c r="E73" s="21">
        <v>4.3</v>
      </c>
      <c r="F73" s="21">
        <v>8.4499999999999993</v>
      </c>
      <c r="G73" s="21">
        <v>5.95</v>
      </c>
      <c r="H73" s="21">
        <v>5.35</v>
      </c>
      <c r="I73" s="22">
        <f t="shared" si="4"/>
        <v>6</v>
      </c>
    </row>
    <row r="74" spans="3:9" x14ac:dyDescent="0.2">
      <c r="C74" s="25">
        <f t="shared" si="5"/>
        <v>43945</v>
      </c>
      <c r="D74" s="21">
        <v>5.85</v>
      </c>
      <c r="E74" s="21">
        <v>3.7</v>
      </c>
      <c r="F74" s="21">
        <v>6.8</v>
      </c>
      <c r="G74" s="21">
        <v>4.7</v>
      </c>
      <c r="H74" s="21">
        <v>4.5999999999999996</v>
      </c>
      <c r="I74" s="22">
        <f t="shared" si="4"/>
        <v>5</v>
      </c>
    </row>
    <row r="75" spans="3:9" x14ac:dyDescent="0.2">
      <c r="C75" s="25">
        <f t="shared" si="5"/>
        <v>43946</v>
      </c>
      <c r="D75" s="21">
        <v>5.0999999999999996</v>
      </c>
      <c r="E75" s="21">
        <v>2.85</v>
      </c>
      <c r="F75" s="21">
        <v>5.6</v>
      </c>
      <c r="G75" s="21">
        <v>4</v>
      </c>
      <c r="H75" s="21">
        <v>4</v>
      </c>
      <c r="I75" s="22">
        <f t="shared" si="4"/>
        <v>4</v>
      </c>
    </row>
    <row r="76" spans="3:9" x14ac:dyDescent="0.2">
      <c r="C76" s="25">
        <f t="shared" si="5"/>
        <v>43947</v>
      </c>
      <c r="D76" s="21">
        <v>6.45</v>
      </c>
      <c r="E76" s="21">
        <v>5.5</v>
      </c>
      <c r="F76" s="21">
        <v>7.6</v>
      </c>
      <c r="G76" s="21">
        <v>5</v>
      </c>
      <c r="H76" s="21">
        <v>5.9</v>
      </c>
      <c r="I76" s="22">
        <f t="shared" si="4"/>
        <v>6</v>
      </c>
    </row>
    <row r="77" spans="3:9" x14ac:dyDescent="0.2">
      <c r="C77" s="25">
        <f t="shared" si="5"/>
        <v>43948</v>
      </c>
      <c r="D77" s="21">
        <v>7.85</v>
      </c>
      <c r="E77" s="21">
        <v>5.0999999999999996</v>
      </c>
      <c r="F77" s="21">
        <v>8.65</v>
      </c>
      <c r="G77" s="21">
        <v>6.25</v>
      </c>
      <c r="H77" s="21">
        <v>6.5</v>
      </c>
      <c r="I77" s="22">
        <f t="shared" si="4"/>
        <v>7</v>
      </c>
    </row>
    <row r="78" spans="3:9" x14ac:dyDescent="0.2">
      <c r="C78" s="25">
        <f t="shared" si="5"/>
        <v>43949</v>
      </c>
      <c r="D78" s="21">
        <v>5.85</v>
      </c>
      <c r="E78" s="21">
        <v>3.65</v>
      </c>
      <c r="F78" s="21">
        <v>7.1</v>
      </c>
      <c r="G78" s="21">
        <v>4.4000000000000004</v>
      </c>
      <c r="H78" s="21">
        <v>4.4000000000000004</v>
      </c>
      <c r="I78" s="22">
        <f t="shared" si="4"/>
        <v>5</v>
      </c>
    </row>
    <row r="79" spans="3:9" x14ac:dyDescent="0.2">
      <c r="C79" s="25">
        <f t="shared" si="5"/>
        <v>43950</v>
      </c>
      <c r="D79" s="21">
        <v>4.5</v>
      </c>
      <c r="E79" s="21">
        <v>2.65</v>
      </c>
      <c r="F79" s="21">
        <v>6.55</v>
      </c>
      <c r="G79" s="21">
        <v>4.2</v>
      </c>
      <c r="H79" s="21">
        <v>3.9</v>
      </c>
      <c r="I79" s="22">
        <f t="shared" si="4"/>
        <v>4</v>
      </c>
    </row>
    <row r="80" spans="3:9" x14ac:dyDescent="0.2">
      <c r="C80" s="25">
        <f t="shared" si="5"/>
        <v>43951</v>
      </c>
      <c r="D80" s="21">
        <v>3.65</v>
      </c>
      <c r="E80" s="21">
        <v>2.35</v>
      </c>
      <c r="F80" s="21">
        <v>4.8</v>
      </c>
      <c r="G80" s="21">
        <v>3.25</v>
      </c>
      <c r="H80" s="21">
        <v>3.25</v>
      </c>
      <c r="I80" s="22">
        <f t="shared" si="4"/>
        <v>3</v>
      </c>
    </row>
    <row r="81" spans="3:9" x14ac:dyDescent="0.2">
      <c r="C81" s="25">
        <f t="shared" si="5"/>
        <v>43952</v>
      </c>
      <c r="D81" s="21">
        <v>3.3</v>
      </c>
      <c r="E81" s="21">
        <v>1.95</v>
      </c>
      <c r="F81" s="21">
        <v>3.05</v>
      </c>
      <c r="G81" s="21">
        <v>2.1</v>
      </c>
      <c r="H81" s="21">
        <v>2.85</v>
      </c>
      <c r="I81" s="22">
        <f t="shared" si="4"/>
        <v>3</v>
      </c>
    </row>
    <row r="82" spans="3:9" x14ac:dyDescent="0.2">
      <c r="C82" s="25">
        <f t="shared" si="5"/>
        <v>43953</v>
      </c>
      <c r="D82" s="21">
        <v>4.55</v>
      </c>
      <c r="E82" s="21">
        <v>1.95</v>
      </c>
      <c r="F82" s="21">
        <v>3.85</v>
      </c>
      <c r="G82" s="21">
        <v>3.05</v>
      </c>
      <c r="H82" s="21">
        <v>3.65</v>
      </c>
      <c r="I82" s="22">
        <f t="shared" si="4"/>
        <v>3</v>
      </c>
    </row>
    <row r="83" spans="3:9" x14ac:dyDescent="0.2">
      <c r="C83" s="25">
        <f t="shared" si="5"/>
        <v>43954</v>
      </c>
      <c r="D83" s="21">
        <v>5.0999999999999996</v>
      </c>
      <c r="E83" s="21">
        <v>3.45</v>
      </c>
      <c r="F83" s="21">
        <v>6.5</v>
      </c>
      <c r="G83" s="21">
        <v>4.25</v>
      </c>
      <c r="H83" s="21">
        <v>4.45</v>
      </c>
      <c r="I83" s="22">
        <f t="shared" si="4"/>
        <v>5</v>
      </c>
    </row>
    <row r="84" spans="3:9" x14ac:dyDescent="0.2">
      <c r="C84" s="25">
        <f t="shared" si="5"/>
        <v>43955</v>
      </c>
      <c r="D84" s="21">
        <v>5.5</v>
      </c>
      <c r="E84" s="21">
        <v>4.4000000000000004</v>
      </c>
      <c r="F84" s="21">
        <v>5.95</v>
      </c>
      <c r="G84" s="21">
        <v>4.3</v>
      </c>
      <c r="H84" s="21">
        <v>4.45</v>
      </c>
      <c r="I84" s="22">
        <f t="shared" si="4"/>
        <v>5</v>
      </c>
    </row>
    <row r="85" spans="3:9" x14ac:dyDescent="0.2">
      <c r="C85" s="25">
        <f t="shared" si="5"/>
        <v>43956</v>
      </c>
      <c r="D85" s="21">
        <v>4.2</v>
      </c>
      <c r="E85" s="21">
        <v>3.3</v>
      </c>
      <c r="F85" s="21">
        <v>5.3</v>
      </c>
      <c r="G85" s="21">
        <v>3.5</v>
      </c>
      <c r="H85" s="21">
        <v>3.65</v>
      </c>
      <c r="I85" s="22">
        <f t="shared" si="4"/>
        <v>4</v>
      </c>
    </row>
    <row r="86" spans="3:9" x14ac:dyDescent="0.2">
      <c r="C86" s="25">
        <f t="shared" si="5"/>
        <v>43957</v>
      </c>
      <c r="D86" s="21">
        <v>2.9</v>
      </c>
      <c r="E86" s="21">
        <v>2.2999999999999998</v>
      </c>
      <c r="F86" s="21">
        <v>4.05</v>
      </c>
      <c r="G86" s="21">
        <v>2.35</v>
      </c>
      <c r="H86" s="21">
        <v>2.15</v>
      </c>
      <c r="I86" s="22">
        <f t="shared" si="4"/>
        <v>3</v>
      </c>
    </row>
    <row r="87" spans="3:9" x14ac:dyDescent="0.2">
      <c r="C87" s="25">
        <f t="shared" si="5"/>
        <v>43958</v>
      </c>
      <c r="D87" s="21">
        <v>1.2</v>
      </c>
      <c r="E87" s="21">
        <v>1.6</v>
      </c>
      <c r="F87" s="21">
        <v>2.95</v>
      </c>
      <c r="G87" s="21">
        <v>1.2</v>
      </c>
      <c r="H87" s="21">
        <v>1.35</v>
      </c>
      <c r="I87" s="22">
        <f t="shared" si="4"/>
        <v>2</v>
      </c>
    </row>
    <row r="88" spans="3:9" x14ac:dyDescent="0.2">
      <c r="C88" s="25">
        <f t="shared" si="5"/>
        <v>43959</v>
      </c>
      <c r="D88" s="21">
        <v>2.1</v>
      </c>
      <c r="E88" s="21">
        <v>1.1000000000000001</v>
      </c>
      <c r="F88" s="21">
        <v>2.95</v>
      </c>
      <c r="G88" s="21">
        <v>2</v>
      </c>
      <c r="H88" s="21">
        <v>1.4</v>
      </c>
      <c r="I88" s="22">
        <f t="shared" si="4"/>
        <v>2</v>
      </c>
    </row>
    <row r="89" spans="3:9" x14ac:dyDescent="0.2">
      <c r="C89" s="25">
        <f t="shared" si="5"/>
        <v>43960</v>
      </c>
      <c r="D89" s="21">
        <v>2.5499999999999998</v>
      </c>
      <c r="E89" s="21">
        <v>1.4</v>
      </c>
      <c r="F89" s="21">
        <v>2.5499999999999998</v>
      </c>
      <c r="G89" s="21">
        <v>1.7</v>
      </c>
      <c r="H89" s="21">
        <v>1.55</v>
      </c>
      <c r="I89" s="22">
        <f t="shared" si="4"/>
        <v>2</v>
      </c>
    </row>
    <row r="90" spans="3:9" x14ac:dyDescent="0.2">
      <c r="C90" s="25">
        <f t="shared" si="5"/>
        <v>43961</v>
      </c>
      <c r="D90" s="21">
        <v>2.7</v>
      </c>
      <c r="E90" s="21">
        <v>1.65</v>
      </c>
      <c r="F90" s="21">
        <v>3.2</v>
      </c>
      <c r="G90" s="21">
        <v>1.75</v>
      </c>
      <c r="H90" s="21">
        <v>2.1</v>
      </c>
      <c r="I90" s="22">
        <f t="shared" si="4"/>
        <v>2</v>
      </c>
    </row>
    <row r="91" spans="3:9" x14ac:dyDescent="0.2">
      <c r="C91" s="25">
        <f t="shared" si="5"/>
        <v>43962</v>
      </c>
      <c r="D91" s="21">
        <v>2.65</v>
      </c>
      <c r="E91" s="21">
        <v>1.6</v>
      </c>
      <c r="F91" s="21">
        <v>3.3</v>
      </c>
      <c r="G91" s="21">
        <v>2.2000000000000002</v>
      </c>
      <c r="H91" s="21">
        <v>2.35</v>
      </c>
      <c r="I91" s="22">
        <f t="shared" si="4"/>
        <v>2</v>
      </c>
    </row>
    <row r="92" spans="3:9" x14ac:dyDescent="0.2">
      <c r="C92" s="25">
        <f t="shared" si="5"/>
        <v>43963</v>
      </c>
      <c r="D92" s="21">
        <v>3.8</v>
      </c>
      <c r="E92" s="21">
        <v>1.95</v>
      </c>
      <c r="F92" s="21">
        <v>4.3499999999999996</v>
      </c>
      <c r="G92" s="21">
        <v>3.1</v>
      </c>
      <c r="H92" s="21">
        <v>3.2</v>
      </c>
      <c r="I92" s="22">
        <f t="shared" si="4"/>
        <v>3</v>
      </c>
    </row>
    <row r="93" spans="3:9" x14ac:dyDescent="0.2">
      <c r="C93" s="25">
        <f t="shared" si="5"/>
        <v>43964</v>
      </c>
      <c r="D93" s="21">
        <v>3.8</v>
      </c>
      <c r="E93" s="21">
        <v>1.8</v>
      </c>
      <c r="F93" s="21">
        <v>5.15</v>
      </c>
      <c r="G93" s="21">
        <v>3.35</v>
      </c>
      <c r="H93" s="21">
        <v>3.05</v>
      </c>
      <c r="I93" s="22">
        <f t="shared" si="4"/>
        <v>3</v>
      </c>
    </row>
    <row r="94" spans="3:9" x14ac:dyDescent="0.2">
      <c r="C94" s="25">
        <f t="shared" si="5"/>
        <v>43965</v>
      </c>
      <c r="D94" s="21">
        <v>3.15</v>
      </c>
      <c r="E94" s="21">
        <v>2.1</v>
      </c>
      <c r="F94" s="21">
        <v>3.75</v>
      </c>
      <c r="G94" s="21">
        <v>1.9</v>
      </c>
      <c r="H94" s="21">
        <v>2.5</v>
      </c>
      <c r="I94" s="22">
        <f t="shared" si="4"/>
        <v>3</v>
      </c>
    </row>
    <row r="95" spans="3:9" x14ac:dyDescent="0.2">
      <c r="C95" s="25">
        <f t="shared" si="5"/>
        <v>43966</v>
      </c>
      <c r="D95" s="21">
        <v>4.25</v>
      </c>
      <c r="E95" s="21">
        <v>2.65</v>
      </c>
      <c r="F95" s="21">
        <v>4.1500000000000004</v>
      </c>
      <c r="G95" s="21">
        <v>3.05</v>
      </c>
      <c r="H95" s="21">
        <v>3</v>
      </c>
      <c r="I95" s="22">
        <f t="shared" si="4"/>
        <v>3</v>
      </c>
    </row>
    <row r="96" spans="3:9" x14ac:dyDescent="0.2">
      <c r="C96" s="25">
        <f t="shared" si="5"/>
        <v>43967</v>
      </c>
      <c r="D96" s="21">
        <v>3.25</v>
      </c>
      <c r="E96" s="21">
        <v>2.4</v>
      </c>
      <c r="F96" s="21">
        <v>4.6500000000000004</v>
      </c>
      <c r="G96" s="21">
        <v>2.75</v>
      </c>
      <c r="H96" s="21">
        <v>2.4</v>
      </c>
      <c r="I96" s="22">
        <f t="shared" si="4"/>
        <v>3</v>
      </c>
    </row>
    <row r="97" spans="3:9" x14ac:dyDescent="0.2">
      <c r="C97" s="25">
        <f t="shared" si="5"/>
        <v>43968</v>
      </c>
      <c r="D97" s="21">
        <v>3.6</v>
      </c>
      <c r="E97" s="21">
        <v>2.0499999999999998</v>
      </c>
      <c r="F97" s="21">
        <v>4.9000000000000004</v>
      </c>
      <c r="G97" s="21">
        <v>3.35</v>
      </c>
      <c r="H97" s="21">
        <v>2.7</v>
      </c>
      <c r="I97" s="22">
        <f t="shared" si="4"/>
        <v>3</v>
      </c>
    </row>
    <row r="98" spans="3:9" x14ac:dyDescent="0.2">
      <c r="C98" s="25">
        <f t="shared" si="5"/>
        <v>43969</v>
      </c>
      <c r="D98" s="21">
        <v>3.2</v>
      </c>
      <c r="E98" s="21">
        <v>2.5499999999999998</v>
      </c>
      <c r="F98" s="21">
        <v>4.75</v>
      </c>
      <c r="G98" s="21">
        <v>3.05</v>
      </c>
      <c r="H98" s="21">
        <v>2.85</v>
      </c>
      <c r="I98" s="22">
        <f t="shared" si="4"/>
        <v>3</v>
      </c>
    </row>
    <row r="99" spans="3:9" x14ac:dyDescent="0.2">
      <c r="C99" s="25">
        <f t="shared" si="5"/>
        <v>43970</v>
      </c>
      <c r="D99" s="21">
        <v>3</v>
      </c>
      <c r="E99" s="21">
        <v>1.45</v>
      </c>
      <c r="F99" s="21">
        <v>4.2</v>
      </c>
      <c r="G99" s="21">
        <v>2.15</v>
      </c>
      <c r="H99" s="21">
        <v>1.65</v>
      </c>
      <c r="I99" s="22">
        <f t="shared" ref="I99:I162" si="6">IFERROR(ROUND((D99*D$29)+(E99*E$29)+(F99*F$29)+(G99*G$29)+(H99*H$29),0),0)</f>
        <v>2</v>
      </c>
    </row>
    <row r="100" spans="3:9" x14ac:dyDescent="0.2">
      <c r="C100" s="25">
        <f t="shared" si="5"/>
        <v>43971</v>
      </c>
      <c r="D100" s="21">
        <v>2.5</v>
      </c>
      <c r="E100" s="21">
        <v>0.8</v>
      </c>
      <c r="F100" s="21">
        <v>2.8</v>
      </c>
      <c r="G100" s="21">
        <v>1.8</v>
      </c>
      <c r="H100" s="21">
        <v>1.35</v>
      </c>
      <c r="I100" s="22">
        <f t="shared" si="6"/>
        <v>2</v>
      </c>
    </row>
    <row r="101" spans="3:9" x14ac:dyDescent="0.2">
      <c r="C101" s="25">
        <f t="shared" ref="C101:C164" si="7">C100+1</f>
        <v>43972</v>
      </c>
      <c r="D101" s="21">
        <v>2</v>
      </c>
      <c r="E101" s="21">
        <v>1.25</v>
      </c>
      <c r="F101" s="21">
        <v>3.25</v>
      </c>
      <c r="G101" s="21">
        <v>1.75</v>
      </c>
      <c r="H101" s="21">
        <v>1.4</v>
      </c>
      <c r="I101" s="22">
        <f t="shared" si="6"/>
        <v>2</v>
      </c>
    </row>
    <row r="102" spans="3:9" x14ac:dyDescent="0.2">
      <c r="C102" s="25">
        <f t="shared" si="7"/>
        <v>43973</v>
      </c>
      <c r="D102" s="21">
        <v>1.8</v>
      </c>
      <c r="E102" s="21">
        <v>0.9</v>
      </c>
      <c r="F102" s="21">
        <v>2.7</v>
      </c>
      <c r="G102" s="21">
        <v>1.1000000000000001</v>
      </c>
      <c r="H102" s="21">
        <v>1.2</v>
      </c>
      <c r="I102" s="22">
        <f t="shared" si="6"/>
        <v>1</v>
      </c>
    </row>
    <row r="103" spans="3:9" x14ac:dyDescent="0.2">
      <c r="C103" s="25">
        <f t="shared" si="7"/>
        <v>43974</v>
      </c>
      <c r="D103" s="21">
        <v>0.7</v>
      </c>
      <c r="E103" s="21">
        <v>0.4</v>
      </c>
      <c r="F103" s="21">
        <v>1.5</v>
      </c>
      <c r="G103" s="21">
        <v>0.75</v>
      </c>
      <c r="H103" s="21">
        <v>0.3</v>
      </c>
      <c r="I103" s="22">
        <f t="shared" si="6"/>
        <v>1</v>
      </c>
    </row>
    <row r="104" spans="3:9" x14ac:dyDescent="0.2">
      <c r="C104" s="25">
        <f t="shared" si="7"/>
        <v>43975</v>
      </c>
      <c r="D104" s="21">
        <v>1.3</v>
      </c>
      <c r="E104" s="21">
        <v>0.45</v>
      </c>
      <c r="F104" s="21">
        <v>1.65</v>
      </c>
      <c r="G104" s="21">
        <v>0.7</v>
      </c>
      <c r="H104" s="21">
        <v>0.8</v>
      </c>
      <c r="I104" s="22">
        <f t="shared" si="6"/>
        <v>1</v>
      </c>
    </row>
    <row r="105" spans="3:9" x14ac:dyDescent="0.2">
      <c r="C105" s="25">
        <f t="shared" si="7"/>
        <v>43976</v>
      </c>
      <c r="D105" s="21">
        <v>1.45</v>
      </c>
      <c r="E105" s="21">
        <v>0.65</v>
      </c>
      <c r="F105" s="21">
        <v>1.95</v>
      </c>
      <c r="G105" s="21">
        <v>1.25</v>
      </c>
      <c r="H105" s="21">
        <v>1.1000000000000001</v>
      </c>
      <c r="I105" s="22">
        <f t="shared" si="6"/>
        <v>1</v>
      </c>
    </row>
    <row r="106" spans="3:9" x14ac:dyDescent="0.2">
      <c r="C106" s="25">
        <f t="shared" si="7"/>
        <v>43977</v>
      </c>
      <c r="D106" s="21">
        <v>0.5</v>
      </c>
      <c r="E106" s="21">
        <v>0.2</v>
      </c>
      <c r="F106" s="21">
        <v>0.8</v>
      </c>
      <c r="G106" s="21">
        <v>0.3</v>
      </c>
      <c r="H106" s="21">
        <v>0.5</v>
      </c>
      <c r="I106" s="22">
        <f t="shared" si="6"/>
        <v>0</v>
      </c>
    </row>
    <row r="107" spans="3:9" x14ac:dyDescent="0.2">
      <c r="C107" s="25">
        <f t="shared" si="7"/>
        <v>43978</v>
      </c>
      <c r="D107" s="21">
        <v>0.6</v>
      </c>
      <c r="E107" s="21">
        <v>0.1</v>
      </c>
      <c r="F107" s="21">
        <v>0.5</v>
      </c>
      <c r="G107" s="21">
        <v>0.45</v>
      </c>
      <c r="H107" s="21">
        <v>0.3</v>
      </c>
      <c r="I107" s="22">
        <f t="shared" si="6"/>
        <v>0</v>
      </c>
    </row>
    <row r="108" spans="3:9" x14ac:dyDescent="0.2">
      <c r="C108" s="25">
        <f t="shared" si="7"/>
        <v>43979</v>
      </c>
      <c r="D108" s="21">
        <v>0.1</v>
      </c>
      <c r="E108" s="21">
        <v>0</v>
      </c>
      <c r="F108" s="21">
        <v>0.35</v>
      </c>
      <c r="G108" s="21">
        <v>0</v>
      </c>
      <c r="H108" s="21">
        <v>0</v>
      </c>
      <c r="I108" s="22">
        <f t="shared" si="6"/>
        <v>0</v>
      </c>
    </row>
    <row r="109" spans="3:9" x14ac:dyDescent="0.2">
      <c r="C109" s="25">
        <f t="shared" si="7"/>
        <v>43980</v>
      </c>
      <c r="D109" s="21">
        <v>0</v>
      </c>
      <c r="E109" s="21">
        <v>0</v>
      </c>
      <c r="F109" s="21">
        <v>0.15</v>
      </c>
      <c r="G109" s="21">
        <v>0</v>
      </c>
      <c r="H109" s="21">
        <v>0</v>
      </c>
      <c r="I109" s="22">
        <f t="shared" si="6"/>
        <v>0</v>
      </c>
    </row>
    <row r="110" spans="3:9" x14ac:dyDescent="0.2">
      <c r="C110" s="25">
        <f t="shared" si="7"/>
        <v>43981</v>
      </c>
      <c r="D110" s="21">
        <v>0.05</v>
      </c>
      <c r="E110" s="21">
        <v>0</v>
      </c>
      <c r="F110" s="21">
        <v>0.2</v>
      </c>
      <c r="G110" s="21">
        <v>0</v>
      </c>
      <c r="H110" s="21">
        <v>0</v>
      </c>
      <c r="I110" s="22">
        <f t="shared" si="6"/>
        <v>0</v>
      </c>
    </row>
    <row r="111" spans="3:9" x14ac:dyDescent="0.2">
      <c r="C111" s="25">
        <f t="shared" si="7"/>
        <v>43982</v>
      </c>
      <c r="D111" s="21">
        <v>0.35</v>
      </c>
      <c r="E111" s="21">
        <v>0</v>
      </c>
      <c r="F111" s="21">
        <v>0.3</v>
      </c>
      <c r="G111" s="21">
        <v>0.05</v>
      </c>
      <c r="H111" s="21">
        <v>0.05</v>
      </c>
      <c r="I111" s="22">
        <f t="shared" si="6"/>
        <v>0</v>
      </c>
    </row>
    <row r="112" spans="3:9" x14ac:dyDescent="0.2">
      <c r="C112" s="25">
        <f t="shared" si="7"/>
        <v>43983</v>
      </c>
      <c r="D112" s="21">
        <v>1.1000000000000001</v>
      </c>
      <c r="E112" s="21">
        <v>0.45</v>
      </c>
      <c r="F112" s="21">
        <v>1.55</v>
      </c>
      <c r="G112" s="21">
        <v>0.75</v>
      </c>
      <c r="H112" s="21">
        <v>0.55000000000000004</v>
      </c>
      <c r="I112" s="22">
        <f t="shared" si="6"/>
        <v>1</v>
      </c>
    </row>
    <row r="113" spans="3:9" x14ac:dyDescent="0.2">
      <c r="C113" s="25">
        <f t="shared" si="7"/>
        <v>43984</v>
      </c>
      <c r="D113" s="21">
        <v>0.8</v>
      </c>
      <c r="E113" s="21">
        <v>0.3</v>
      </c>
      <c r="F113" s="21">
        <v>1.25</v>
      </c>
      <c r="G113" s="21">
        <v>0.5</v>
      </c>
      <c r="H113" s="21">
        <v>0.35</v>
      </c>
      <c r="I113" s="22">
        <f t="shared" si="6"/>
        <v>1</v>
      </c>
    </row>
    <row r="114" spans="3:9" x14ac:dyDescent="0.2">
      <c r="C114" s="25">
        <f t="shared" si="7"/>
        <v>43985</v>
      </c>
      <c r="D114" s="21">
        <v>0.7</v>
      </c>
      <c r="E114" s="21">
        <v>0.2</v>
      </c>
      <c r="F114" s="21">
        <v>0.55000000000000004</v>
      </c>
      <c r="G114" s="21">
        <v>0.3</v>
      </c>
      <c r="H114" s="21">
        <v>0.5</v>
      </c>
      <c r="I114" s="22">
        <f t="shared" si="6"/>
        <v>0</v>
      </c>
    </row>
    <row r="115" spans="3:9" x14ac:dyDescent="0.2">
      <c r="C115" s="25">
        <f t="shared" si="7"/>
        <v>43986</v>
      </c>
      <c r="D115" s="21">
        <v>0.35</v>
      </c>
      <c r="E115" s="21">
        <v>0.15</v>
      </c>
      <c r="F115" s="21">
        <v>0.7</v>
      </c>
      <c r="G115" s="21">
        <v>0.45</v>
      </c>
      <c r="H115" s="21">
        <v>0.3</v>
      </c>
      <c r="I115" s="22">
        <f t="shared" si="6"/>
        <v>0</v>
      </c>
    </row>
    <row r="116" spans="3:9" x14ac:dyDescent="0.2">
      <c r="C116" s="25">
        <f t="shared" si="7"/>
        <v>43987</v>
      </c>
      <c r="D116" s="21">
        <v>0.1</v>
      </c>
      <c r="E116" s="21">
        <v>0</v>
      </c>
      <c r="F116" s="21">
        <v>0.45</v>
      </c>
      <c r="G116" s="21">
        <v>0.1</v>
      </c>
      <c r="H116" s="21">
        <v>0.05</v>
      </c>
      <c r="I116" s="22">
        <f t="shared" si="6"/>
        <v>0</v>
      </c>
    </row>
    <row r="117" spans="3:9" x14ac:dyDescent="0.2">
      <c r="C117" s="25">
        <f t="shared" si="7"/>
        <v>43988</v>
      </c>
      <c r="D117" s="21">
        <v>0</v>
      </c>
      <c r="E117" s="21">
        <v>0</v>
      </c>
      <c r="F117" s="21">
        <v>0.15</v>
      </c>
      <c r="G117" s="21">
        <v>0</v>
      </c>
      <c r="H117" s="21">
        <v>0</v>
      </c>
      <c r="I117" s="22">
        <f t="shared" si="6"/>
        <v>0</v>
      </c>
    </row>
    <row r="118" spans="3:9" x14ac:dyDescent="0.2">
      <c r="C118" s="25">
        <f t="shared" si="7"/>
        <v>43989</v>
      </c>
      <c r="D118" s="21">
        <v>0</v>
      </c>
      <c r="E118" s="21">
        <v>0</v>
      </c>
      <c r="F118" s="21">
        <v>0.15</v>
      </c>
      <c r="G118" s="21">
        <v>0</v>
      </c>
      <c r="H118" s="21">
        <v>0</v>
      </c>
      <c r="I118" s="22">
        <f t="shared" si="6"/>
        <v>0</v>
      </c>
    </row>
    <row r="119" spans="3:9" x14ac:dyDescent="0.2">
      <c r="C119" s="25">
        <f t="shared" si="7"/>
        <v>43990</v>
      </c>
      <c r="D119" s="21">
        <v>0</v>
      </c>
      <c r="E119" s="21">
        <v>0</v>
      </c>
      <c r="F119" s="21">
        <v>0.15</v>
      </c>
      <c r="G119" s="21">
        <v>0</v>
      </c>
      <c r="H119" s="21">
        <v>0</v>
      </c>
      <c r="I119" s="22">
        <f t="shared" si="6"/>
        <v>0</v>
      </c>
    </row>
    <row r="120" spans="3:9" x14ac:dyDescent="0.2">
      <c r="C120" s="25">
        <f t="shared" si="7"/>
        <v>43991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22">
        <f t="shared" si="6"/>
        <v>0</v>
      </c>
    </row>
    <row r="121" spans="3:9" x14ac:dyDescent="0.2">
      <c r="C121" s="25">
        <f t="shared" si="7"/>
        <v>43992</v>
      </c>
      <c r="D121" s="21">
        <v>0</v>
      </c>
      <c r="E121" s="21">
        <v>0</v>
      </c>
      <c r="F121" s="21">
        <v>0</v>
      </c>
      <c r="G121" s="21">
        <v>0</v>
      </c>
      <c r="H121" s="21">
        <v>0</v>
      </c>
      <c r="I121" s="22">
        <f t="shared" si="6"/>
        <v>0</v>
      </c>
    </row>
    <row r="122" spans="3:9" x14ac:dyDescent="0.2">
      <c r="C122" s="25">
        <f t="shared" si="7"/>
        <v>43993</v>
      </c>
      <c r="D122" s="21">
        <v>0</v>
      </c>
      <c r="E122" s="21">
        <v>0</v>
      </c>
      <c r="F122" s="21">
        <v>0.2</v>
      </c>
      <c r="G122" s="21">
        <v>0</v>
      </c>
      <c r="H122" s="21">
        <v>0</v>
      </c>
      <c r="I122" s="22">
        <f t="shared" si="6"/>
        <v>0</v>
      </c>
    </row>
    <row r="123" spans="3:9" x14ac:dyDescent="0.2">
      <c r="C123" s="25">
        <f t="shared" si="7"/>
        <v>43994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2">
        <f t="shared" si="6"/>
        <v>0</v>
      </c>
    </row>
    <row r="124" spans="3:9" x14ac:dyDescent="0.2">
      <c r="C124" s="25">
        <f t="shared" si="7"/>
        <v>43995</v>
      </c>
      <c r="D124" s="21">
        <v>0.15</v>
      </c>
      <c r="E124" s="21">
        <v>0</v>
      </c>
      <c r="F124" s="21">
        <v>0.15</v>
      </c>
      <c r="G124" s="21">
        <v>0</v>
      </c>
      <c r="H124" s="21">
        <v>0</v>
      </c>
      <c r="I124" s="22">
        <f t="shared" si="6"/>
        <v>0</v>
      </c>
    </row>
    <row r="125" spans="3:9" x14ac:dyDescent="0.2">
      <c r="C125" s="25">
        <f t="shared" si="7"/>
        <v>43996</v>
      </c>
      <c r="D125" s="21">
        <v>0.05</v>
      </c>
      <c r="E125" s="21">
        <v>0</v>
      </c>
      <c r="F125" s="21">
        <v>0.3</v>
      </c>
      <c r="G125" s="21">
        <v>0</v>
      </c>
      <c r="H125" s="21">
        <v>0</v>
      </c>
      <c r="I125" s="22">
        <f t="shared" si="6"/>
        <v>0</v>
      </c>
    </row>
    <row r="126" spans="3:9" x14ac:dyDescent="0.2">
      <c r="C126" s="25">
        <f t="shared" si="7"/>
        <v>43997</v>
      </c>
      <c r="D126" s="21">
        <v>0</v>
      </c>
      <c r="E126" s="21">
        <v>0</v>
      </c>
      <c r="F126" s="21">
        <v>0.05</v>
      </c>
      <c r="G126" s="21">
        <v>0</v>
      </c>
      <c r="H126" s="21">
        <v>0</v>
      </c>
      <c r="I126" s="22">
        <f t="shared" si="6"/>
        <v>0</v>
      </c>
    </row>
    <row r="127" spans="3:9" x14ac:dyDescent="0.2">
      <c r="C127" s="25">
        <f t="shared" si="7"/>
        <v>43998</v>
      </c>
      <c r="D127" s="21">
        <v>1.45</v>
      </c>
      <c r="E127" s="21">
        <v>0</v>
      </c>
      <c r="F127" s="21">
        <v>0</v>
      </c>
      <c r="G127" s="21">
        <v>0</v>
      </c>
      <c r="H127" s="21">
        <v>0</v>
      </c>
      <c r="I127" s="22">
        <f t="shared" si="6"/>
        <v>0</v>
      </c>
    </row>
    <row r="128" spans="3:9" x14ac:dyDescent="0.2">
      <c r="C128" s="25">
        <f t="shared" si="7"/>
        <v>43999</v>
      </c>
      <c r="D128" s="21">
        <v>0</v>
      </c>
      <c r="E128" s="21">
        <v>0</v>
      </c>
      <c r="F128" s="21">
        <v>0.05</v>
      </c>
      <c r="G128" s="21">
        <v>0</v>
      </c>
      <c r="H128" s="21">
        <v>0</v>
      </c>
      <c r="I128" s="22">
        <f t="shared" si="6"/>
        <v>0</v>
      </c>
    </row>
    <row r="129" spans="3:9" x14ac:dyDescent="0.2">
      <c r="C129" s="25">
        <f t="shared" si="7"/>
        <v>44000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2">
        <f t="shared" si="6"/>
        <v>0</v>
      </c>
    </row>
    <row r="130" spans="3:9" x14ac:dyDescent="0.2">
      <c r="C130" s="25">
        <f t="shared" si="7"/>
        <v>44001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2">
        <f t="shared" si="6"/>
        <v>0</v>
      </c>
    </row>
    <row r="131" spans="3:9" x14ac:dyDescent="0.2">
      <c r="C131" s="25">
        <f t="shared" si="7"/>
        <v>44002</v>
      </c>
      <c r="D131" s="21">
        <v>0</v>
      </c>
      <c r="E131" s="21">
        <v>0</v>
      </c>
      <c r="F131" s="21">
        <v>0.15</v>
      </c>
      <c r="G131" s="21">
        <v>0</v>
      </c>
      <c r="H131" s="21">
        <v>0</v>
      </c>
      <c r="I131" s="22">
        <f t="shared" si="6"/>
        <v>0</v>
      </c>
    </row>
    <row r="132" spans="3:9" x14ac:dyDescent="0.2">
      <c r="C132" s="25">
        <f t="shared" si="7"/>
        <v>44003</v>
      </c>
      <c r="D132" s="21">
        <v>0</v>
      </c>
      <c r="E132" s="21">
        <v>0</v>
      </c>
      <c r="F132" s="21">
        <v>0.1</v>
      </c>
      <c r="G132" s="21">
        <v>0</v>
      </c>
      <c r="H132" s="21">
        <v>0</v>
      </c>
      <c r="I132" s="22">
        <f t="shared" si="6"/>
        <v>0</v>
      </c>
    </row>
    <row r="133" spans="3:9" x14ac:dyDescent="0.2">
      <c r="C133" s="25">
        <f t="shared" si="7"/>
        <v>44004</v>
      </c>
      <c r="D133" s="21">
        <v>0</v>
      </c>
      <c r="E133" s="21">
        <v>0</v>
      </c>
      <c r="F133" s="21">
        <v>0.1</v>
      </c>
      <c r="G133" s="21">
        <v>0</v>
      </c>
      <c r="H133" s="21">
        <v>0</v>
      </c>
      <c r="I133" s="22">
        <f t="shared" si="6"/>
        <v>0</v>
      </c>
    </row>
    <row r="134" spans="3:9" x14ac:dyDescent="0.2">
      <c r="C134" s="25">
        <f t="shared" si="7"/>
        <v>44005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2">
        <f t="shared" si="6"/>
        <v>0</v>
      </c>
    </row>
    <row r="135" spans="3:9" x14ac:dyDescent="0.2">
      <c r="C135" s="25">
        <f t="shared" si="7"/>
        <v>44006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2">
        <f t="shared" si="6"/>
        <v>0</v>
      </c>
    </row>
    <row r="136" spans="3:9" x14ac:dyDescent="0.2">
      <c r="C136" s="25">
        <f t="shared" si="7"/>
        <v>44007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2">
        <f t="shared" si="6"/>
        <v>0</v>
      </c>
    </row>
    <row r="137" spans="3:9" x14ac:dyDescent="0.2">
      <c r="C137" s="25">
        <f t="shared" si="7"/>
        <v>44008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2">
        <f t="shared" si="6"/>
        <v>0</v>
      </c>
    </row>
    <row r="138" spans="3:9" x14ac:dyDescent="0.2">
      <c r="C138" s="25">
        <f t="shared" si="7"/>
        <v>44009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2">
        <f t="shared" si="6"/>
        <v>0</v>
      </c>
    </row>
    <row r="139" spans="3:9" x14ac:dyDescent="0.2">
      <c r="C139" s="25">
        <f t="shared" si="7"/>
        <v>44010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2">
        <f t="shared" si="6"/>
        <v>0</v>
      </c>
    </row>
    <row r="140" spans="3:9" x14ac:dyDescent="0.2">
      <c r="C140" s="25">
        <f t="shared" si="7"/>
        <v>44011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2">
        <f t="shared" si="6"/>
        <v>0</v>
      </c>
    </row>
    <row r="141" spans="3:9" x14ac:dyDescent="0.2">
      <c r="C141" s="25">
        <f t="shared" si="7"/>
        <v>44012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2">
        <f t="shared" si="6"/>
        <v>0</v>
      </c>
    </row>
    <row r="142" spans="3:9" x14ac:dyDescent="0.2">
      <c r="C142" s="25">
        <f t="shared" si="7"/>
        <v>44013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2">
        <f t="shared" si="6"/>
        <v>0</v>
      </c>
    </row>
    <row r="143" spans="3:9" x14ac:dyDescent="0.2">
      <c r="C143" s="25">
        <f t="shared" si="7"/>
        <v>44014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2">
        <f t="shared" si="6"/>
        <v>0</v>
      </c>
    </row>
    <row r="144" spans="3:9" x14ac:dyDescent="0.2">
      <c r="C144" s="25">
        <f t="shared" si="7"/>
        <v>44015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2">
        <f t="shared" si="6"/>
        <v>0</v>
      </c>
    </row>
    <row r="145" spans="3:9" x14ac:dyDescent="0.2">
      <c r="C145" s="25">
        <f t="shared" si="7"/>
        <v>44016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2">
        <f t="shared" si="6"/>
        <v>0</v>
      </c>
    </row>
    <row r="146" spans="3:9" x14ac:dyDescent="0.2">
      <c r="C146" s="25">
        <f t="shared" si="7"/>
        <v>44017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2">
        <f t="shared" si="6"/>
        <v>0</v>
      </c>
    </row>
    <row r="147" spans="3:9" x14ac:dyDescent="0.2">
      <c r="C147" s="25">
        <f t="shared" si="7"/>
        <v>44018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2">
        <f t="shared" si="6"/>
        <v>0</v>
      </c>
    </row>
    <row r="148" spans="3:9" x14ac:dyDescent="0.2">
      <c r="C148" s="25">
        <f t="shared" si="7"/>
        <v>44019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2">
        <f t="shared" si="6"/>
        <v>0</v>
      </c>
    </row>
    <row r="149" spans="3:9" x14ac:dyDescent="0.2">
      <c r="C149" s="25">
        <f t="shared" si="7"/>
        <v>44020</v>
      </c>
      <c r="D149" s="21">
        <v>0</v>
      </c>
      <c r="E149" s="21">
        <v>0</v>
      </c>
      <c r="F149" s="21">
        <v>0</v>
      </c>
      <c r="G149" s="21">
        <v>0</v>
      </c>
      <c r="H149" s="21">
        <v>0</v>
      </c>
      <c r="I149" s="22">
        <f t="shared" si="6"/>
        <v>0</v>
      </c>
    </row>
    <row r="150" spans="3:9" x14ac:dyDescent="0.2">
      <c r="C150" s="25">
        <f t="shared" si="7"/>
        <v>44021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2">
        <f t="shared" si="6"/>
        <v>0</v>
      </c>
    </row>
    <row r="151" spans="3:9" x14ac:dyDescent="0.2">
      <c r="C151" s="25">
        <f t="shared" si="7"/>
        <v>44022</v>
      </c>
      <c r="D151" s="21">
        <v>0</v>
      </c>
      <c r="E151" s="21">
        <v>0</v>
      </c>
      <c r="F151" s="21">
        <v>0</v>
      </c>
      <c r="G151" s="21">
        <v>0</v>
      </c>
      <c r="H151" s="21">
        <v>0</v>
      </c>
      <c r="I151" s="22">
        <f t="shared" si="6"/>
        <v>0</v>
      </c>
    </row>
    <row r="152" spans="3:9" x14ac:dyDescent="0.2">
      <c r="C152" s="25">
        <f t="shared" si="7"/>
        <v>44023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2">
        <f t="shared" si="6"/>
        <v>0</v>
      </c>
    </row>
    <row r="153" spans="3:9" x14ac:dyDescent="0.2">
      <c r="C153" s="25">
        <f t="shared" si="7"/>
        <v>44024</v>
      </c>
      <c r="D153" s="21">
        <v>0</v>
      </c>
      <c r="E153" s="21">
        <v>0</v>
      </c>
      <c r="F153" s="21">
        <v>0</v>
      </c>
      <c r="G153" s="21">
        <v>0</v>
      </c>
      <c r="H153" s="21">
        <v>0</v>
      </c>
      <c r="I153" s="22">
        <f t="shared" si="6"/>
        <v>0</v>
      </c>
    </row>
    <row r="154" spans="3:9" x14ac:dyDescent="0.2">
      <c r="C154" s="25">
        <f t="shared" si="7"/>
        <v>44025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2">
        <f t="shared" si="6"/>
        <v>0</v>
      </c>
    </row>
    <row r="155" spans="3:9" x14ac:dyDescent="0.2">
      <c r="C155" s="25">
        <f t="shared" si="7"/>
        <v>44026</v>
      </c>
      <c r="D155" s="21">
        <v>0</v>
      </c>
      <c r="E155" s="21">
        <v>0</v>
      </c>
      <c r="F155" s="21">
        <v>0</v>
      </c>
      <c r="G155" s="21">
        <v>0</v>
      </c>
      <c r="H155" s="21">
        <v>0</v>
      </c>
      <c r="I155" s="22">
        <f t="shared" si="6"/>
        <v>0</v>
      </c>
    </row>
    <row r="156" spans="3:9" x14ac:dyDescent="0.2">
      <c r="C156" s="25">
        <f t="shared" si="7"/>
        <v>44027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2">
        <f t="shared" si="6"/>
        <v>0</v>
      </c>
    </row>
    <row r="157" spans="3:9" x14ac:dyDescent="0.2">
      <c r="C157" s="25">
        <f t="shared" si="7"/>
        <v>44028</v>
      </c>
      <c r="D157" s="21">
        <v>0</v>
      </c>
      <c r="E157" s="21">
        <v>0</v>
      </c>
      <c r="F157" s="21">
        <v>0</v>
      </c>
      <c r="G157" s="21">
        <v>0</v>
      </c>
      <c r="H157" s="21">
        <v>0</v>
      </c>
      <c r="I157" s="22">
        <f t="shared" si="6"/>
        <v>0</v>
      </c>
    </row>
    <row r="158" spans="3:9" x14ac:dyDescent="0.2">
      <c r="C158" s="25">
        <f t="shared" si="7"/>
        <v>44029</v>
      </c>
      <c r="D158" s="21">
        <v>0</v>
      </c>
      <c r="E158" s="21">
        <v>0</v>
      </c>
      <c r="F158" s="21">
        <v>0</v>
      </c>
      <c r="G158" s="21">
        <v>0</v>
      </c>
      <c r="H158" s="21">
        <v>0</v>
      </c>
      <c r="I158" s="22">
        <f t="shared" si="6"/>
        <v>0</v>
      </c>
    </row>
    <row r="159" spans="3:9" x14ac:dyDescent="0.2">
      <c r="C159" s="25">
        <f t="shared" si="7"/>
        <v>44030</v>
      </c>
      <c r="D159" s="21">
        <v>0</v>
      </c>
      <c r="E159" s="21">
        <v>0</v>
      </c>
      <c r="F159" s="21">
        <v>0.1</v>
      </c>
      <c r="G159" s="21">
        <v>0</v>
      </c>
      <c r="H159" s="21">
        <v>0</v>
      </c>
      <c r="I159" s="22">
        <f t="shared" si="6"/>
        <v>0</v>
      </c>
    </row>
    <row r="160" spans="3:9" x14ac:dyDescent="0.2">
      <c r="C160" s="25">
        <f t="shared" si="7"/>
        <v>44031</v>
      </c>
      <c r="D160" s="21">
        <v>0</v>
      </c>
      <c r="E160" s="21">
        <v>0</v>
      </c>
      <c r="F160" s="21">
        <v>0.05</v>
      </c>
      <c r="G160" s="21">
        <v>0</v>
      </c>
      <c r="H160" s="21">
        <v>0</v>
      </c>
      <c r="I160" s="22">
        <f t="shared" si="6"/>
        <v>0</v>
      </c>
    </row>
    <row r="161" spans="3:9" x14ac:dyDescent="0.2">
      <c r="C161" s="25">
        <f t="shared" si="7"/>
        <v>44032</v>
      </c>
      <c r="D161" s="21">
        <v>0</v>
      </c>
      <c r="E161" s="21">
        <v>0</v>
      </c>
      <c r="F161" s="21">
        <v>0</v>
      </c>
      <c r="G161" s="21">
        <v>0</v>
      </c>
      <c r="H161" s="21">
        <v>0</v>
      </c>
      <c r="I161" s="22">
        <f t="shared" si="6"/>
        <v>0</v>
      </c>
    </row>
    <row r="162" spans="3:9" x14ac:dyDescent="0.2">
      <c r="C162" s="25">
        <f t="shared" si="7"/>
        <v>44033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2">
        <f t="shared" si="6"/>
        <v>0</v>
      </c>
    </row>
    <row r="163" spans="3:9" x14ac:dyDescent="0.2">
      <c r="C163" s="25">
        <f t="shared" si="7"/>
        <v>44034</v>
      </c>
      <c r="D163" s="21">
        <v>0</v>
      </c>
      <c r="E163" s="21">
        <v>0</v>
      </c>
      <c r="F163" s="21">
        <v>0</v>
      </c>
      <c r="G163" s="21">
        <v>0</v>
      </c>
      <c r="H163" s="21">
        <v>0</v>
      </c>
      <c r="I163" s="22">
        <f t="shared" ref="I163:I226" si="8">IFERROR(ROUND((D163*D$29)+(E163*E$29)+(F163*F$29)+(G163*G$29)+(H163*H$29),0),0)</f>
        <v>0</v>
      </c>
    </row>
    <row r="164" spans="3:9" x14ac:dyDescent="0.2">
      <c r="C164" s="25">
        <f t="shared" si="7"/>
        <v>44035</v>
      </c>
      <c r="D164" s="21">
        <v>0</v>
      </c>
      <c r="E164" s="21">
        <v>0</v>
      </c>
      <c r="F164" s="21">
        <v>0</v>
      </c>
      <c r="G164" s="21">
        <v>0</v>
      </c>
      <c r="H164" s="21">
        <v>0</v>
      </c>
      <c r="I164" s="22">
        <f t="shared" si="8"/>
        <v>0</v>
      </c>
    </row>
    <row r="165" spans="3:9" x14ac:dyDescent="0.2">
      <c r="C165" s="25">
        <f t="shared" ref="C165:C228" si="9">C164+1</f>
        <v>44036</v>
      </c>
      <c r="D165" s="21">
        <v>0</v>
      </c>
      <c r="E165" s="21">
        <v>0</v>
      </c>
      <c r="F165" s="21">
        <v>0</v>
      </c>
      <c r="G165" s="21">
        <v>0</v>
      </c>
      <c r="H165" s="21">
        <v>0</v>
      </c>
      <c r="I165" s="22">
        <f t="shared" si="8"/>
        <v>0</v>
      </c>
    </row>
    <row r="166" spans="3:9" x14ac:dyDescent="0.2">
      <c r="C166" s="25">
        <f t="shared" si="9"/>
        <v>44037</v>
      </c>
      <c r="D166" s="21">
        <v>0</v>
      </c>
      <c r="E166" s="21">
        <v>0</v>
      </c>
      <c r="F166" s="21">
        <v>0</v>
      </c>
      <c r="G166" s="21">
        <v>0</v>
      </c>
      <c r="H166" s="21">
        <v>0</v>
      </c>
      <c r="I166" s="22">
        <f t="shared" si="8"/>
        <v>0</v>
      </c>
    </row>
    <row r="167" spans="3:9" x14ac:dyDescent="0.2">
      <c r="C167" s="25">
        <f t="shared" si="9"/>
        <v>44038</v>
      </c>
      <c r="D167" s="21">
        <v>0.05</v>
      </c>
      <c r="E167" s="21">
        <v>0</v>
      </c>
      <c r="F167" s="21">
        <v>0</v>
      </c>
      <c r="G167" s="21">
        <v>0</v>
      </c>
      <c r="H167" s="21">
        <v>0</v>
      </c>
      <c r="I167" s="22">
        <f t="shared" si="8"/>
        <v>0</v>
      </c>
    </row>
    <row r="168" spans="3:9" x14ac:dyDescent="0.2">
      <c r="C168" s="25">
        <f t="shared" si="9"/>
        <v>44039</v>
      </c>
      <c r="D168" s="21">
        <v>0</v>
      </c>
      <c r="E168" s="21">
        <v>0</v>
      </c>
      <c r="F168" s="21">
        <v>0</v>
      </c>
      <c r="G168" s="21">
        <v>0</v>
      </c>
      <c r="H168" s="21">
        <v>0</v>
      </c>
      <c r="I168" s="22">
        <f t="shared" si="8"/>
        <v>0</v>
      </c>
    </row>
    <row r="169" spans="3:9" x14ac:dyDescent="0.2">
      <c r="C169" s="25">
        <f t="shared" si="9"/>
        <v>44040</v>
      </c>
      <c r="D169" s="21">
        <v>0</v>
      </c>
      <c r="E169" s="21">
        <v>0</v>
      </c>
      <c r="F169" s="21">
        <v>0</v>
      </c>
      <c r="G169" s="21">
        <v>0</v>
      </c>
      <c r="H169" s="21">
        <v>0</v>
      </c>
      <c r="I169" s="22">
        <f t="shared" si="8"/>
        <v>0</v>
      </c>
    </row>
    <row r="170" spans="3:9" x14ac:dyDescent="0.2">
      <c r="C170" s="25">
        <f t="shared" si="9"/>
        <v>44041</v>
      </c>
      <c r="D170" s="21">
        <v>0</v>
      </c>
      <c r="E170" s="21">
        <v>0</v>
      </c>
      <c r="F170" s="21">
        <v>0.1</v>
      </c>
      <c r="G170" s="21">
        <v>0</v>
      </c>
      <c r="H170" s="21">
        <v>0</v>
      </c>
      <c r="I170" s="22">
        <f t="shared" si="8"/>
        <v>0</v>
      </c>
    </row>
    <row r="171" spans="3:9" x14ac:dyDescent="0.2">
      <c r="C171" s="25">
        <f t="shared" si="9"/>
        <v>44042</v>
      </c>
      <c r="D171" s="21">
        <v>0</v>
      </c>
      <c r="E171" s="21">
        <v>0</v>
      </c>
      <c r="F171" s="21">
        <v>0</v>
      </c>
      <c r="G171" s="21">
        <v>0</v>
      </c>
      <c r="H171" s="21">
        <v>0</v>
      </c>
      <c r="I171" s="22">
        <f t="shared" si="8"/>
        <v>0</v>
      </c>
    </row>
    <row r="172" spans="3:9" x14ac:dyDescent="0.2">
      <c r="C172" s="25">
        <f t="shared" si="9"/>
        <v>44043</v>
      </c>
      <c r="D172" s="21">
        <v>0</v>
      </c>
      <c r="E172" s="21">
        <v>0</v>
      </c>
      <c r="F172" s="21">
        <v>0</v>
      </c>
      <c r="G172" s="21">
        <v>0</v>
      </c>
      <c r="H172" s="21">
        <v>0</v>
      </c>
      <c r="I172" s="22">
        <f t="shared" si="8"/>
        <v>0</v>
      </c>
    </row>
    <row r="173" spans="3:9" x14ac:dyDescent="0.2">
      <c r="C173" s="25">
        <f t="shared" si="9"/>
        <v>44044</v>
      </c>
      <c r="D173" s="21">
        <v>0</v>
      </c>
      <c r="E173" s="21">
        <v>0</v>
      </c>
      <c r="F173" s="21">
        <v>0</v>
      </c>
      <c r="G173" s="21">
        <v>0</v>
      </c>
      <c r="H173" s="21">
        <v>0</v>
      </c>
      <c r="I173" s="22">
        <f t="shared" si="8"/>
        <v>0</v>
      </c>
    </row>
    <row r="174" spans="3:9" x14ac:dyDescent="0.2">
      <c r="C174" s="25">
        <f t="shared" si="9"/>
        <v>44045</v>
      </c>
      <c r="D174" s="21">
        <v>0</v>
      </c>
      <c r="E174" s="21">
        <v>0</v>
      </c>
      <c r="F174" s="21">
        <v>0</v>
      </c>
      <c r="G174" s="21">
        <v>0</v>
      </c>
      <c r="H174" s="21">
        <v>0</v>
      </c>
      <c r="I174" s="22">
        <f t="shared" si="8"/>
        <v>0</v>
      </c>
    </row>
    <row r="175" spans="3:9" x14ac:dyDescent="0.2">
      <c r="C175" s="25">
        <f t="shared" si="9"/>
        <v>44046</v>
      </c>
      <c r="D175" s="21">
        <v>0</v>
      </c>
      <c r="E175" s="21">
        <v>0</v>
      </c>
      <c r="F175" s="21">
        <v>0</v>
      </c>
      <c r="G175" s="21">
        <v>0</v>
      </c>
      <c r="H175" s="21">
        <v>0</v>
      </c>
      <c r="I175" s="22">
        <f t="shared" si="8"/>
        <v>0</v>
      </c>
    </row>
    <row r="176" spans="3:9" x14ac:dyDescent="0.2">
      <c r="C176" s="25">
        <f t="shared" si="9"/>
        <v>44047</v>
      </c>
      <c r="D176" s="21">
        <v>0</v>
      </c>
      <c r="E176" s="21">
        <v>0</v>
      </c>
      <c r="F176" s="21">
        <v>0</v>
      </c>
      <c r="G176" s="21">
        <v>0</v>
      </c>
      <c r="H176" s="21">
        <v>0</v>
      </c>
      <c r="I176" s="22">
        <f t="shared" si="8"/>
        <v>0</v>
      </c>
    </row>
    <row r="177" spans="3:9" x14ac:dyDescent="0.2">
      <c r="C177" s="25">
        <f t="shared" si="9"/>
        <v>44048</v>
      </c>
      <c r="D177" s="21">
        <v>0</v>
      </c>
      <c r="E177" s="21">
        <v>0</v>
      </c>
      <c r="F177" s="21">
        <v>0</v>
      </c>
      <c r="G177" s="21">
        <v>0</v>
      </c>
      <c r="H177" s="21">
        <v>0</v>
      </c>
      <c r="I177" s="22">
        <f t="shared" si="8"/>
        <v>0</v>
      </c>
    </row>
    <row r="178" spans="3:9" x14ac:dyDescent="0.2">
      <c r="C178" s="25">
        <f t="shared" si="9"/>
        <v>44049</v>
      </c>
      <c r="D178" s="21">
        <v>0</v>
      </c>
      <c r="E178" s="21">
        <v>0</v>
      </c>
      <c r="F178" s="21">
        <v>0.05</v>
      </c>
      <c r="G178" s="21">
        <v>0</v>
      </c>
      <c r="H178" s="21">
        <v>0</v>
      </c>
      <c r="I178" s="22">
        <f t="shared" si="8"/>
        <v>0</v>
      </c>
    </row>
    <row r="179" spans="3:9" x14ac:dyDescent="0.2">
      <c r="C179" s="25">
        <f t="shared" si="9"/>
        <v>44050</v>
      </c>
      <c r="D179" s="21">
        <v>0</v>
      </c>
      <c r="E179" s="21">
        <v>0</v>
      </c>
      <c r="F179" s="21">
        <v>0.05</v>
      </c>
      <c r="G179" s="21">
        <v>0</v>
      </c>
      <c r="H179" s="21">
        <v>0</v>
      </c>
      <c r="I179" s="22">
        <f t="shared" si="8"/>
        <v>0</v>
      </c>
    </row>
    <row r="180" spans="3:9" x14ac:dyDescent="0.2">
      <c r="C180" s="25">
        <f t="shared" si="9"/>
        <v>44051</v>
      </c>
      <c r="D180" s="21">
        <v>0</v>
      </c>
      <c r="E180" s="21">
        <v>0</v>
      </c>
      <c r="F180" s="21">
        <v>0</v>
      </c>
      <c r="G180" s="21">
        <v>0</v>
      </c>
      <c r="H180" s="21">
        <v>0</v>
      </c>
      <c r="I180" s="22">
        <f t="shared" si="8"/>
        <v>0</v>
      </c>
    </row>
    <row r="181" spans="3:9" x14ac:dyDescent="0.2">
      <c r="C181" s="25">
        <f t="shared" si="9"/>
        <v>44052</v>
      </c>
      <c r="D181" s="21">
        <v>0</v>
      </c>
      <c r="E181" s="21">
        <v>0</v>
      </c>
      <c r="F181" s="21">
        <v>0</v>
      </c>
      <c r="G181" s="21">
        <v>0</v>
      </c>
      <c r="H181" s="21">
        <v>0</v>
      </c>
      <c r="I181" s="22">
        <f t="shared" si="8"/>
        <v>0</v>
      </c>
    </row>
    <row r="182" spans="3:9" x14ac:dyDescent="0.2">
      <c r="C182" s="25">
        <f t="shared" si="9"/>
        <v>44053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2">
        <f t="shared" si="8"/>
        <v>0</v>
      </c>
    </row>
    <row r="183" spans="3:9" x14ac:dyDescent="0.2">
      <c r="C183" s="25">
        <f t="shared" si="9"/>
        <v>44054</v>
      </c>
      <c r="D183" s="21">
        <v>0.05</v>
      </c>
      <c r="E183" s="21">
        <v>0</v>
      </c>
      <c r="F183" s="21">
        <v>0</v>
      </c>
      <c r="G183" s="21">
        <v>0</v>
      </c>
      <c r="H183" s="21">
        <v>0.1</v>
      </c>
      <c r="I183" s="22">
        <f t="shared" si="8"/>
        <v>0</v>
      </c>
    </row>
    <row r="184" spans="3:9" x14ac:dyDescent="0.2">
      <c r="C184" s="25">
        <f t="shared" si="9"/>
        <v>44055</v>
      </c>
      <c r="D184" s="21">
        <v>0.2</v>
      </c>
      <c r="E184" s="21">
        <v>0</v>
      </c>
      <c r="F184" s="21">
        <v>0.1</v>
      </c>
      <c r="G184" s="21">
        <v>0</v>
      </c>
      <c r="H184" s="21">
        <v>0.15</v>
      </c>
      <c r="I184" s="22">
        <f t="shared" si="8"/>
        <v>0</v>
      </c>
    </row>
    <row r="185" spans="3:9" x14ac:dyDescent="0.2">
      <c r="C185" s="25">
        <f t="shared" si="9"/>
        <v>44056</v>
      </c>
      <c r="D185" s="21">
        <v>0.1</v>
      </c>
      <c r="E185" s="21">
        <v>0.15</v>
      </c>
      <c r="F185" s="21">
        <v>0.35</v>
      </c>
      <c r="G185" s="21">
        <v>0.05</v>
      </c>
      <c r="H185" s="21">
        <v>0.2</v>
      </c>
      <c r="I185" s="22">
        <f t="shared" si="8"/>
        <v>0</v>
      </c>
    </row>
    <row r="186" spans="3:9" x14ac:dyDescent="0.2">
      <c r="C186" s="25">
        <f t="shared" si="9"/>
        <v>44057</v>
      </c>
      <c r="D186" s="21">
        <v>0.1</v>
      </c>
      <c r="E186" s="21">
        <v>0</v>
      </c>
      <c r="F186" s="21">
        <v>0.15</v>
      </c>
      <c r="G186" s="21">
        <v>0</v>
      </c>
      <c r="H186" s="21">
        <v>0.15</v>
      </c>
      <c r="I186" s="22">
        <f t="shared" si="8"/>
        <v>0</v>
      </c>
    </row>
    <row r="187" spans="3:9" x14ac:dyDescent="0.2">
      <c r="C187" s="25">
        <f t="shared" si="9"/>
        <v>44058</v>
      </c>
      <c r="D187" s="21">
        <v>0</v>
      </c>
      <c r="E187" s="21">
        <v>0</v>
      </c>
      <c r="F187" s="21">
        <v>0.1</v>
      </c>
      <c r="G187" s="21">
        <v>0</v>
      </c>
      <c r="H187" s="21">
        <v>0</v>
      </c>
      <c r="I187" s="22">
        <f t="shared" si="8"/>
        <v>0</v>
      </c>
    </row>
    <row r="188" spans="3:9" x14ac:dyDescent="0.2">
      <c r="C188" s="25">
        <f t="shared" si="9"/>
        <v>44059</v>
      </c>
      <c r="D188" s="21">
        <v>0</v>
      </c>
      <c r="E188" s="21">
        <v>0</v>
      </c>
      <c r="F188" s="21">
        <v>0</v>
      </c>
      <c r="G188" s="21">
        <v>0</v>
      </c>
      <c r="H188" s="21">
        <v>0</v>
      </c>
      <c r="I188" s="22">
        <f t="shared" si="8"/>
        <v>0</v>
      </c>
    </row>
    <row r="189" spans="3:9" x14ac:dyDescent="0.2">
      <c r="C189" s="25">
        <f t="shared" si="9"/>
        <v>44060</v>
      </c>
      <c r="D189" s="21">
        <v>0</v>
      </c>
      <c r="E189" s="21">
        <v>0</v>
      </c>
      <c r="F189" s="21">
        <v>0</v>
      </c>
      <c r="G189" s="21">
        <v>0</v>
      </c>
      <c r="H189" s="21">
        <v>0</v>
      </c>
      <c r="I189" s="22">
        <f t="shared" si="8"/>
        <v>0</v>
      </c>
    </row>
    <row r="190" spans="3:9" x14ac:dyDescent="0.2">
      <c r="C190" s="25">
        <f t="shared" si="9"/>
        <v>44061</v>
      </c>
      <c r="D190" s="21">
        <v>0</v>
      </c>
      <c r="E190" s="21">
        <v>0</v>
      </c>
      <c r="F190" s="21">
        <v>0</v>
      </c>
      <c r="G190" s="21">
        <v>0</v>
      </c>
      <c r="H190" s="21">
        <v>0</v>
      </c>
      <c r="I190" s="22">
        <f t="shared" si="8"/>
        <v>0</v>
      </c>
    </row>
    <row r="191" spans="3:9" x14ac:dyDescent="0.2">
      <c r="C191" s="25">
        <f t="shared" si="9"/>
        <v>44062</v>
      </c>
      <c r="D191" s="21">
        <v>0</v>
      </c>
      <c r="E191" s="21">
        <v>0</v>
      </c>
      <c r="F191" s="21">
        <v>0</v>
      </c>
      <c r="G191" s="21">
        <v>0</v>
      </c>
      <c r="H191" s="21">
        <v>0</v>
      </c>
      <c r="I191" s="22">
        <f t="shared" si="8"/>
        <v>0</v>
      </c>
    </row>
    <row r="192" spans="3:9" x14ac:dyDescent="0.2">
      <c r="C192" s="25">
        <f t="shared" si="9"/>
        <v>44063</v>
      </c>
      <c r="D192" s="21">
        <v>0</v>
      </c>
      <c r="E192" s="21">
        <v>0</v>
      </c>
      <c r="F192" s="21">
        <v>0</v>
      </c>
      <c r="G192" s="21">
        <v>0</v>
      </c>
      <c r="H192" s="21">
        <v>0</v>
      </c>
      <c r="I192" s="22">
        <f t="shared" si="8"/>
        <v>0</v>
      </c>
    </row>
    <row r="193" spans="3:9" x14ac:dyDescent="0.2">
      <c r="C193" s="25">
        <f t="shared" si="9"/>
        <v>44064</v>
      </c>
      <c r="D193" s="21">
        <v>0</v>
      </c>
      <c r="E193" s="21">
        <v>0</v>
      </c>
      <c r="F193" s="21">
        <v>0</v>
      </c>
      <c r="G193" s="21">
        <v>0</v>
      </c>
      <c r="H193" s="21">
        <v>0</v>
      </c>
      <c r="I193" s="22">
        <f t="shared" si="8"/>
        <v>0</v>
      </c>
    </row>
    <row r="194" spans="3:9" x14ac:dyDescent="0.2">
      <c r="C194" s="25">
        <f t="shared" si="9"/>
        <v>44065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2">
        <f t="shared" si="8"/>
        <v>0</v>
      </c>
    </row>
    <row r="195" spans="3:9" x14ac:dyDescent="0.2">
      <c r="C195" s="25">
        <f t="shared" si="9"/>
        <v>44066</v>
      </c>
      <c r="D195" s="21">
        <v>0</v>
      </c>
      <c r="E195" s="21">
        <v>0</v>
      </c>
      <c r="F195" s="21">
        <v>0</v>
      </c>
      <c r="G195" s="21">
        <v>0</v>
      </c>
      <c r="H195" s="21">
        <v>0</v>
      </c>
      <c r="I195" s="22">
        <f t="shared" si="8"/>
        <v>0</v>
      </c>
    </row>
    <row r="196" spans="3:9" x14ac:dyDescent="0.2">
      <c r="C196" s="25">
        <f t="shared" si="9"/>
        <v>44067</v>
      </c>
      <c r="D196" s="21">
        <v>0.1</v>
      </c>
      <c r="E196" s="21">
        <v>0</v>
      </c>
      <c r="F196" s="21">
        <v>0</v>
      </c>
      <c r="G196" s="21">
        <v>0</v>
      </c>
      <c r="H196" s="21">
        <v>0</v>
      </c>
      <c r="I196" s="22">
        <f t="shared" si="8"/>
        <v>0</v>
      </c>
    </row>
    <row r="197" spans="3:9" x14ac:dyDescent="0.2">
      <c r="C197" s="25">
        <f t="shared" si="9"/>
        <v>44068</v>
      </c>
      <c r="D197" s="21">
        <v>0</v>
      </c>
      <c r="E197" s="21">
        <v>0</v>
      </c>
      <c r="F197" s="21">
        <v>0</v>
      </c>
      <c r="G197" s="21">
        <v>0</v>
      </c>
      <c r="H197" s="21">
        <v>0</v>
      </c>
      <c r="I197" s="22">
        <f t="shared" si="8"/>
        <v>0</v>
      </c>
    </row>
    <row r="198" spans="3:9" x14ac:dyDescent="0.2">
      <c r="C198" s="25">
        <f t="shared" si="9"/>
        <v>44069</v>
      </c>
      <c r="D198" s="21">
        <v>0</v>
      </c>
      <c r="E198" s="21">
        <v>0</v>
      </c>
      <c r="F198" s="21">
        <v>0</v>
      </c>
      <c r="G198" s="21">
        <v>0</v>
      </c>
      <c r="H198" s="21">
        <v>0</v>
      </c>
      <c r="I198" s="22">
        <f t="shared" si="8"/>
        <v>0</v>
      </c>
    </row>
    <row r="199" spans="3:9" x14ac:dyDescent="0.2">
      <c r="C199" s="25">
        <f t="shared" si="9"/>
        <v>44070</v>
      </c>
      <c r="D199" s="21">
        <v>0</v>
      </c>
      <c r="E199" s="21">
        <v>0</v>
      </c>
      <c r="F199" s="21">
        <v>0</v>
      </c>
      <c r="G199" s="21">
        <v>0</v>
      </c>
      <c r="H199" s="21">
        <v>0</v>
      </c>
      <c r="I199" s="22">
        <f t="shared" si="8"/>
        <v>0</v>
      </c>
    </row>
    <row r="200" spans="3:9" x14ac:dyDescent="0.2">
      <c r="C200" s="25">
        <f t="shared" si="9"/>
        <v>44071</v>
      </c>
      <c r="D200" s="21">
        <v>0</v>
      </c>
      <c r="E200" s="21">
        <v>0</v>
      </c>
      <c r="F200" s="21">
        <v>0</v>
      </c>
      <c r="G200" s="21">
        <v>0</v>
      </c>
      <c r="H200" s="21">
        <v>0</v>
      </c>
      <c r="I200" s="22">
        <f t="shared" si="8"/>
        <v>0</v>
      </c>
    </row>
    <row r="201" spans="3:9" x14ac:dyDescent="0.2">
      <c r="C201" s="25">
        <f t="shared" si="9"/>
        <v>44072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22">
        <f t="shared" si="8"/>
        <v>0</v>
      </c>
    </row>
    <row r="202" spans="3:9" x14ac:dyDescent="0.2">
      <c r="C202" s="25">
        <f t="shared" si="9"/>
        <v>44073</v>
      </c>
      <c r="D202" s="21">
        <v>0</v>
      </c>
      <c r="E202" s="21">
        <v>0</v>
      </c>
      <c r="F202" s="21">
        <v>0</v>
      </c>
      <c r="G202" s="21">
        <v>0</v>
      </c>
      <c r="H202" s="21">
        <v>0</v>
      </c>
      <c r="I202" s="22">
        <f t="shared" si="8"/>
        <v>0</v>
      </c>
    </row>
    <row r="203" spans="3:9" x14ac:dyDescent="0.2">
      <c r="C203" s="25">
        <f t="shared" si="9"/>
        <v>44074</v>
      </c>
      <c r="D203" s="21">
        <v>0</v>
      </c>
      <c r="E203" s="21">
        <v>0</v>
      </c>
      <c r="F203" s="21">
        <v>0.15</v>
      </c>
      <c r="G203" s="21">
        <v>0</v>
      </c>
      <c r="H203" s="21">
        <v>0</v>
      </c>
      <c r="I203" s="22">
        <f t="shared" si="8"/>
        <v>0</v>
      </c>
    </row>
    <row r="204" spans="3:9" x14ac:dyDescent="0.2">
      <c r="C204" s="25">
        <f t="shared" si="9"/>
        <v>44075</v>
      </c>
      <c r="D204" s="21">
        <v>0</v>
      </c>
      <c r="E204" s="21">
        <v>0</v>
      </c>
      <c r="F204" s="21">
        <v>0.1</v>
      </c>
      <c r="G204" s="21">
        <v>0</v>
      </c>
      <c r="H204" s="21">
        <v>0</v>
      </c>
      <c r="I204" s="22">
        <f t="shared" si="8"/>
        <v>0</v>
      </c>
    </row>
    <row r="205" spans="3:9" x14ac:dyDescent="0.2">
      <c r="C205" s="25">
        <f t="shared" si="9"/>
        <v>44076</v>
      </c>
      <c r="D205" s="21">
        <v>0.05</v>
      </c>
      <c r="E205" s="21">
        <v>0</v>
      </c>
      <c r="F205" s="21">
        <v>0.4</v>
      </c>
      <c r="G205" s="21">
        <v>0.25</v>
      </c>
      <c r="H205" s="21">
        <v>0</v>
      </c>
      <c r="I205" s="22">
        <f t="shared" si="8"/>
        <v>0</v>
      </c>
    </row>
    <row r="206" spans="3:9" x14ac:dyDescent="0.2">
      <c r="C206" s="25">
        <f t="shared" si="9"/>
        <v>44077</v>
      </c>
      <c r="D206" s="21">
        <v>0</v>
      </c>
      <c r="E206" s="21">
        <v>0</v>
      </c>
      <c r="F206" s="21">
        <v>0</v>
      </c>
      <c r="G206" s="21">
        <v>0</v>
      </c>
      <c r="H206" s="21">
        <v>0</v>
      </c>
      <c r="I206" s="22">
        <f t="shared" si="8"/>
        <v>0</v>
      </c>
    </row>
    <row r="207" spans="3:9" x14ac:dyDescent="0.2">
      <c r="C207" s="25">
        <f t="shared" si="9"/>
        <v>44078</v>
      </c>
      <c r="D207" s="21">
        <v>0</v>
      </c>
      <c r="E207" s="21">
        <v>0</v>
      </c>
      <c r="F207" s="21">
        <v>0.2</v>
      </c>
      <c r="G207" s="21">
        <v>0</v>
      </c>
      <c r="H207" s="21">
        <v>0</v>
      </c>
      <c r="I207" s="22">
        <f t="shared" si="8"/>
        <v>0</v>
      </c>
    </row>
    <row r="208" spans="3:9" x14ac:dyDescent="0.2">
      <c r="C208" s="25">
        <f t="shared" si="9"/>
        <v>44079</v>
      </c>
      <c r="D208" s="21">
        <v>0.05</v>
      </c>
      <c r="E208" s="21">
        <v>0.1</v>
      </c>
      <c r="F208" s="21">
        <v>0.2</v>
      </c>
      <c r="G208" s="21">
        <v>0</v>
      </c>
      <c r="H208" s="21">
        <v>0</v>
      </c>
      <c r="I208" s="22">
        <f t="shared" si="8"/>
        <v>0</v>
      </c>
    </row>
    <row r="209" spans="3:9" x14ac:dyDescent="0.2">
      <c r="C209" s="25">
        <f t="shared" si="9"/>
        <v>44080</v>
      </c>
      <c r="D209" s="21">
        <v>0.3</v>
      </c>
      <c r="E209" s="21">
        <v>0.4</v>
      </c>
      <c r="F209" s="21">
        <v>0.65</v>
      </c>
      <c r="G209" s="21">
        <v>0.3</v>
      </c>
      <c r="H209" s="21">
        <v>0.25</v>
      </c>
      <c r="I209" s="22">
        <f t="shared" si="8"/>
        <v>0</v>
      </c>
    </row>
    <row r="210" spans="3:9" x14ac:dyDescent="0.2">
      <c r="C210" s="25">
        <f t="shared" si="9"/>
        <v>44081</v>
      </c>
      <c r="D210" s="21">
        <v>0.25</v>
      </c>
      <c r="E210" s="21">
        <v>0.15</v>
      </c>
      <c r="F210" s="21">
        <v>0.6</v>
      </c>
      <c r="G210" s="21">
        <v>0.3</v>
      </c>
      <c r="H210" s="21">
        <v>0.2</v>
      </c>
      <c r="I210" s="22">
        <f t="shared" si="8"/>
        <v>0</v>
      </c>
    </row>
    <row r="211" spans="3:9" x14ac:dyDescent="0.2">
      <c r="C211" s="25">
        <f t="shared" si="9"/>
        <v>44082</v>
      </c>
      <c r="D211" s="21">
        <v>0.05</v>
      </c>
      <c r="E211" s="21">
        <v>0.15</v>
      </c>
      <c r="F211" s="21">
        <v>0.45</v>
      </c>
      <c r="G211" s="21">
        <v>0.25</v>
      </c>
      <c r="H211" s="21">
        <v>0</v>
      </c>
      <c r="I211" s="22">
        <f t="shared" si="8"/>
        <v>0</v>
      </c>
    </row>
    <row r="212" spans="3:9" x14ac:dyDescent="0.2">
      <c r="C212" s="25">
        <f t="shared" si="9"/>
        <v>44083</v>
      </c>
      <c r="D212" s="21">
        <v>0.25</v>
      </c>
      <c r="E212" s="21">
        <v>0</v>
      </c>
      <c r="F212" s="21">
        <v>0.15</v>
      </c>
      <c r="G212" s="21">
        <v>0</v>
      </c>
      <c r="H212" s="21">
        <v>0.1</v>
      </c>
      <c r="I212" s="22">
        <f t="shared" si="8"/>
        <v>0</v>
      </c>
    </row>
    <row r="213" spans="3:9" x14ac:dyDescent="0.2">
      <c r="C213" s="25">
        <f t="shared" si="9"/>
        <v>44084</v>
      </c>
      <c r="D213" s="21">
        <v>0.05</v>
      </c>
      <c r="E213" s="21">
        <v>0</v>
      </c>
      <c r="F213" s="21">
        <v>0.25</v>
      </c>
      <c r="G213" s="21">
        <v>0.05</v>
      </c>
      <c r="H213" s="21">
        <v>0</v>
      </c>
      <c r="I213" s="22">
        <f t="shared" si="8"/>
        <v>0</v>
      </c>
    </row>
    <row r="214" spans="3:9" x14ac:dyDescent="0.2">
      <c r="C214" s="25">
        <f t="shared" si="9"/>
        <v>44085</v>
      </c>
      <c r="D214" s="21">
        <v>0</v>
      </c>
      <c r="E214" s="21">
        <v>0.1</v>
      </c>
      <c r="F214" s="21">
        <v>0.25</v>
      </c>
      <c r="G214" s="21">
        <v>0.1</v>
      </c>
      <c r="H214" s="21">
        <v>0.05</v>
      </c>
      <c r="I214" s="22">
        <f t="shared" si="8"/>
        <v>0</v>
      </c>
    </row>
    <row r="215" spans="3:9" x14ac:dyDescent="0.2">
      <c r="C215" s="25">
        <f t="shared" si="9"/>
        <v>44086</v>
      </c>
      <c r="D215" s="21">
        <v>0.3</v>
      </c>
      <c r="E215" s="21">
        <v>0.15</v>
      </c>
      <c r="F215" s="21">
        <v>0.2</v>
      </c>
      <c r="G215" s="21">
        <v>0.05</v>
      </c>
      <c r="H215" s="21">
        <v>0.4</v>
      </c>
      <c r="I215" s="22">
        <f t="shared" si="8"/>
        <v>0</v>
      </c>
    </row>
    <row r="216" spans="3:9" x14ac:dyDescent="0.2">
      <c r="C216" s="25">
        <f t="shared" si="9"/>
        <v>44087</v>
      </c>
      <c r="D216" s="21">
        <v>0.65</v>
      </c>
      <c r="E216" s="21">
        <v>0.4</v>
      </c>
      <c r="F216" s="21">
        <v>0.9</v>
      </c>
      <c r="G216" s="21">
        <v>0.35</v>
      </c>
      <c r="H216" s="21">
        <v>0.65</v>
      </c>
      <c r="I216" s="22">
        <f t="shared" si="8"/>
        <v>1</v>
      </c>
    </row>
    <row r="217" spans="3:9" x14ac:dyDescent="0.2">
      <c r="C217" s="25">
        <f t="shared" si="9"/>
        <v>44088</v>
      </c>
      <c r="D217" s="21">
        <v>0.6</v>
      </c>
      <c r="E217" s="21">
        <v>0.05</v>
      </c>
      <c r="F217" s="21">
        <v>0.95</v>
      </c>
      <c r="G217" s="21">
        <v>0.2</v>
      </c>
      <c r="H217" s="21">
        <v>0.2</v>
      </c>
      <c r="I217" s="22">
        <f t="shared" si="8"/>
        <v>0</v>
      </c>
    </row>
    <row r="218" spans="3:9" x14ac:dyDescent="0.2">
      <c r="C218" s="25">
        <f t="shared" si="9"/>
        <v>44089</v>
      </c>
      <c r="D218" s="21">
        <v>0.85</v>
      </c>
      <c r="E218" s="21">
        <v>0.2</v>
      </c>
      <c r="F218" s="21">
        <v>1.2</v>
      </c>
      <c r="G218" s="21">
        <v>0.5</v>
      </c>
      <c r="H218" s="21">
        <v>0.85</v>
      </c>
      <c r="I218" s="22">
        <f t="shared" si="8"/>
        <v>1</v>
      </c>
    </row>
    <row r="219" spans="3:9" x14ac:dyDescent="0.2">
      <c r="C219" s="25">
        <f t="shared" si="9"/>
        <v>44090</v>
      </c>
      <c r="D219" s="21">
        <v>0.65</v>
      </c>
      <c r="E219" s="21">
        <v>0.15</v>
      </c>
      <c r="F219" s="21">
        <v>1.1499999999999999</v>
      </c>
      <c r="G219" s="21">
        <v>0.25</v>
      </c>
      <c r="H219" s="21">
        <v>0.4</v>
      </c>
      <c r="I219" s="22">
        <f t="shared" si="8"/>
        <v>0</v>
      </c>
    </row>
    <row r="220" spans="3:9" x14ac:dyDescent="0.2">
      <c r="C220" s="25">
        <f t="shared" si="9"/>
        <v>44091</v>
      </c>
      <c r="D220" s="21">
        <v>0.35</v>
      </c>
      <c r="E220" s="21">
        <v>0</v>
      </c>
      <c r="F220" s="21">
        <v>0.55000000000000004</v>
      </c>
      <c r="G220" s="21">
        <v>0.1</v>
      </c>
      <c r="H220" s="21">
        <v>0.4</v>
      </c>
      <c r="I220" s="22">
        <f t="shared" si="8"/>
        <v>0</v>
      </c>
    </row>
    <row r="221" spans="3:9" x14ac:dyDescent="0.2">
      <c r="C221" s="25">
        <f t="shared" si="9"/>
        <v>44092</v>
      </c>
      <c r="D221" s="21">
        <v>0.4</v>
      </c>
      <c r="E221" s="21">
        <v>0.15</v>
      </c>
      <c r="F221" s="21">
        <v>0.8</v>
      </c>
      <c r="G221" s="21">
        <v>0.1</v>
      </c>
      <c r="H221" s="21">
        <v>0.5</v>
      </c>
      <c r="I221" s="22">
        <f t="shared" si="8"/>
        <v>0</v>
      </c>
    </row>
    <row r="222" spans="3:9" x14ac:dyDescent="0.2">
      <c r="C222" s="25">
        <f t="shared" si="9"/>
        <v>44093</v>
      </c>
      <c r="D222" s="21">
        <v>1.2</v>
      </c>
      <c r="E222" s="21">
        <v>0.25</v>
      </c>
      <c r="F222" s="21">
        <v>1.4</v>
      </c>
      <c r="G222" s="21">
        <v>0.8</v>
      </c>
      <c r="H222" s="21">
        <v>1</v>
      </c>
      <c r="I222" s="22">
        <f t="shared" si="8"/>
        <v>1</v>
      </c>
    </row>
    <row r="223" spans="3:9" x14ac:dyDescent="0.2">
      <c r="C223" s="25">
        <f t="shared" si="9"/>
        <v>44094</v>
      </c>
      <c r="D223" s="21">
        <v>0.95</v>
      </c>
      <c r="E223" s="21">
        <v>0.2</v>
      </c>
      <c r="F223" s="21">
        <v>1.65</v>
      </c>
      <c r="G223" s="21">
        <v>0.95</v>
      </c>
      <c r="H223" s="21">
        <v>0.65</v>
      </c>
      <c r="I223" s="22">
        <f t="shared" si="8"/>
        <v>1</v>
      </c>
    </row>
    <row r="224" spans="3:9" x14ac:dyDescent="0.2">
      <c r="C224" s="25">
        <f t="shared" si="9"/>
        <v>44095</v>
      </c>
      <c r="D224" s="21">
        <v>0.55000000000000004</v>
      </c>
      <c r="E224" s="21">
        <v>0.05</v>
      </c>
      <c r="F224" s="21">
        <v>0.85</v>
      </c>
      <c r="G224" s="21">
        <v>0.35</v>
      </c>
      <c r="H224" s="21">
        <v>0.35</v>
      </c>
      <c r="I224" s="22">
        <f t="shared" si="8"/>
        <v>0</v>
      </c>
    </row>
    <row r="225" spans="3:9" x14ac:dyDescent="0.2">
      <c r="C225" s="25">
        <f t="shared" si="9"/>
        <v>44096</v>
      </c>
      <c r="D225" s="21">
        <v>0.7</v>
      </c>
      <c r="E225" s="21">
        <v>0.1</v>
      </c>
      <c r="F225" s="21">
        <v>1.25</v>
      </c>
      <c r="G225" s="21">
        <v>0.35</v>
      </c>
      <c r="H225" s="21">
        <v>0.6</v>
      </c>
      <c r="I225" s="22">
        <f t="shared" si="8"/>
        <v>1</v>
      </c>
    </row>
    <row r="226" spans="3:9" x14ac:dyDescent="0.2">
      <c r="C226" s="25">
        <f t="shared" si="9"/>
        <v>44097</v>
      </c>
      <c r="D226" s="21">
        <v>1.5</v>
      </c>
      <c r="E226" s="21">
        <v>0.5</v>
      </c>
      <c r="F226" s="21">
        <v>2.4500000000000002</v>
      </c>
      <c r="G226" s="21">
        <v>0.85</v>
      </c>
      <c r="H226" s="21">
        <v>1.35</v>
      </c>
      <c r="I226" s="22">
        <f t="shared" si="8"/>
        <v>1</v>
      </c>
    </row>
    <row r="227" spans="3:9" x14ac:dyDescent="0.2">
      <c r="C227" s="25">
        <f t="shared" si="9"/>
        <v>44098</v>
      </c>
      <c r="D227" s="21">
        <v>1.45</v>
      </c>
      <c r="E227" s="21">
        <v>0.95</v>
      </c>
      <c r="F227" s="21">
        <v>1.8</v>
      </c>
      <c r="G227" s="21">
        <v>1</v>
      </c>
      <c r="H227" s="21">
        <v>1.1499999999999999</v>
      </c>
      <c r="I227" s="22">
        <f t="shared" ref="I227:I290" si="10">IFERROR(ROUND((D227*D$29)+(E227*E$29)+(F227*F$29)+(G227*G$29)+(H227*H$29),0),0)</f>
        <v>1</v>
      </c>
    </row>
    <row r="228" spans="3:9" x14ac:dyDescent="0.2">
      <c r="C228" s="25">
        <f t="shared" si="9"/>
        <v>44099</v>
      </c>
      <c r="D228" s="21">
        <v>1.4</v>
      </c>
      <c r="E228" s="21">
        <v>0.55000000000000004</v>
      </c>
      <c r="F228" s="21">
        <v>1.7</v>
      </c>
      <c r="G228" s="21">
        <v>0.75</v>
      </c>
      <c r="H228" s="21">
        <v>1.25</v>
      </c>
      <c r="I228" s="22">
        <f t="shared" si="10"/>
        <v>1</v>
      </c>
    </row>
    <row r="229" spans="3:9" x14ac:dyDescent="0.2">
      <c r="C229" s="25">
        <f t="shared" ref="C229:C292" si="11">C228+1</f>
        <v>44100</v>
      </c>
      <c r="D229" s="21">
        <v>1.05</v>
      </c>
      <c r="E229" s="21">
        <v>0.6</v>
      </c>
      <c r="F229" s="21">
        <v>1.5</v>
      </c>
      <c r="G229" s="21">
        <v>0.55000000000000004</v>
      </c>
      <c r="H229" s="21">
        <v>1.2</v>
      </c>
      <c r="I229" s="22">
        <f t="shared" si="10"/>
        <v>1</v>
      </c>
    </row>
    <row r="230" spans="3:9" x14ac:dyDescent="0.2">
      <c r="C230" s="25">
        <f t="shared" si="11"/>
        <v>44101</v>
      </c>
      <c r="D230" s="21">
        <v>0.95</v>
      </c>
      <c r="E230" s="21">
        <v>0.5</v>
      </c>
      <c r="F230" s="21">
        <v>1.7</v>
      </c>
      <c r="G230" s="21">
        <v>0.5</v>
      </c>
      <c r="H230" s="21">
        <v>1.1499999999999999</v>
      </c>
      <c r="I230" s="22">
        <f t="shared" si="10"/>
        <v>1</v>
      </c>
    </row>
    <row r="231" spans="3:9" x14ac:dyDescent="0.2">
      <c r="C231" s="25">
        <f t="shared" si="11"/>
        <v>44102</v>
      </c>
      <c r="D231" s="21">
        <v>2.25</v>
      </c>
      <c r="E231" s="21">
        <v>0.95</v>
      </c>
      <c r="F231" s="21">
        <v>2.8</v>
      </c>
      <c r="G231" s="21">
        <v>1.75</v>
      </c>
      <c r="H231" s="21">
        <v>1.8</v>
      </c>
      <c r="I231" s="22">
        <f t="shared" si="10"/>
        <v>2</v>
      </c>
    </row>
    <row r="232" spans="3:9" x14ac:dyDescent="0.2">
      <c r="C232" s="25">
        <f t="shared" si="11"/>
        <v>44103</v>
      </c>
      <c r="D232" s="21">
        <v>3.45</v>
      </c>
      <c r="E232" s="21">
        <v>2.0499999999999998</v>
      </c>
      <c r="F232" s="21">
        <v>4.5999999999999996</v>
      </c>
      <c r="G232" s="21">
        <v>2.95</v>
      </c>
      <c r="H232" s="21">
        <v>3.35</v>
      </c>
      <c r="I232" s="22">
        <f t="shared" si="10"/>
        <v>3</v>
      </c>
    </row>
    <row r="233" spans="3:9" x14ac:dyDescent="0.2">
      <c r="C233" s="25">
        <f t="shared" si="11"/>
        <v>44104</v>
      </c>
      <c r="D233" s="21">
        <v>2.9</v>
      </c>
      <c r="E233" s="21">
        <v>1.95</v>
      </c>
      <c r="F233" s="21">
        <v>4</v>
      </c>
      <c r="G233" s="21">
        <v>2.2999999999999998</v>
      </c>
      <c r="H233" s="21">
        <v>2.2000000000000002</v>
      </c>
      <c r="I233" s="22">
        <f t="shared" si="10"/>
        <v>3</v>
      </c>
    </row>
    <row r="234" spans="3:9" x14ac:dyDescent="0.2">
      <c r="C234" s="25">
        <f t="shared" si="11"/>
        <v>44105</v>
      </c>
      <c r="D234" s="21">
        <v>3.4</v>
      </c>
      <c r="E234" s="21">
        <v>2.0499999999999998</v>
      </c>
      <c r="F234" s="21">
        <v>4.6500000000000004</v>
      </c>
      <c r="G234" s="21">
        <v>2.5499999999999998</v>
      </c>
      <c r="H234" s="21">
        <v>2.65</v>
      </c>
      <c r="I234" s="22">
        <f t="shared" si="10"/>
        <v>3</v>
      </c>
    </row>
    <row r="235" spans="3:9" x14ac:dyDescent="0.2">
      <c r="C235" s="25">
        <f t="shared" si="11"/>
        <v>44106</v>
      </c>
      <c r="D235" s="21">
        <v>4.3</v>
      </c>
      <c r="E235" s="21">
        <v>2.9</v>
      </c>
      <c r="F235" s="21">
        <v>4.7</v>
      </c>
      <c r="G235" s="21">
        <v>3.2</v>
      </c>
      <c r="H235" s="21">
        <v>3.85</v>
      </c>
      <c r="I235" s="22">
        <f t="shared" si="10"/>
        <v>4</v>
      </c>
    </row>
    <row r="236" spans="3:9" x14ac:dyDescent="0.2">
      <c r="C236" s="25">
        <f t="shared" si="11"/>
        <v>44107</v>
      </c>
      <c r="D236" s="21">
        <v>4.6500000000000004</v>
      </c>
      <c r="E236" s="21">
        <v>3.3</v>
      </c>
      <c r="F236" s="21">
        <v>5</v>
      </c>
      <c r="G236" s="21">
        <v>3.35</v>
      </c>
      <c r="H236" s="21">
        <v>4.3</v>
      </c>
      <c r="I236" s="22">
        <f t="shared" si="10"/>
        <v>4</v>
      </c>
    </row>
    <row r="237" spans="3:9" x14ac:dyDescent="0.2">
      <c r="C237" s="25">
        <f t="shared" si="11"/>
        <v>44108</v>
      </c>
      <c r="D237" s="21">
        <v>3.65</v>
      </c>
      <c r="E237" s="21">
        <v>2.4</v>
      </c>
      <c r="F237" s="21">
        <v>3.7</v>
      </c>
      <c r="G237" s="21">
        <v>2.5</v>
      </c>
      <c r="H237" s="21">
        <v>3.95</v>
      </c>
      <c r="I237" s="22">
        <f t="shared" si="10"/>
        <v>3</v>
      </c>
    </row>
    <row r="238" spans="3:9" x14ac:dyDescent="0.2">
      <c r="C238" s="25">
        <f t="shared" si="11"/>
        <v>44109</v>
      </c>
      <c r="D238" s="21">
        <v>4.45</v>
      </c>
      <c r="E238" s="21">
        <v>2.15</v>
      </c>
      <c r="F238" s="21">
        <v>4.05</v>
      </c>
      <c r="G238" s="21">
        <v>3.1</v>
      </c>
      <c r="H238" s="21">
        <v>4.1500000000000004</v>
      </c>
      <c r="I238" s="22">
        <f t="shared" si="10"/>
        <v>4</v>
      </c>
    </row>
    <row r="239" spans="3:9" x14ac:dyDescent="0.2">
      <c r="C239" s="25">
        <f t="shared" si="11"/>
        <v>44110</v>
      </c>
      <c r="D239" s="21">
        <v>4.75</v>
      </c>
      <c r="E239" s="21">
        <v>2.1</v>
      </c>
      <c r="F239" s="21">
        <v>4.9000000000000004</v>
      </c>
      <c r="G239" s="21">
        <v>3.45</v>
      </c>
      <c r="H239" s="21">
        <v>4.3499999999999996</v>
      </c>
      <c r="I239" s="22">
        <f t="shared" si="10"/>
        <v>4</v>
      </c>
    </row>
    <row r="240" spans="3:9" x14ac:dyDescent="0.2">
      <c r="C240" s="25">
        <f t="shared" si="11"/>
        <v>44111</v>
      </c>
      <c r="D240" s="21">
        <v>4.3499999999999996</v>
      </c>
      <c r="E240" s="21">
        <v>2.75</v>
      </c>
      <c r="F240" s="21">
        <v>5</v>
      </c>
      <c r="G240" s="21">
        <v>3.7</v>
      </c>
      <c r="H240" s="21">
        <v>3.8</v>
      </c>
      <c r="I240" s="22">
        <f t="shared" si="10"/>
        <v>4</v>
      </c>
    </row>
    <row r="241" spans="3:9" x14ac:dyDescent="0.2">
      <c r="C241" s="25">
        <f t="shared" si="11"/>
        <v>44112</v>
      </c>
      <c r="D241" s="21">
        <v>4.1500000000000004</v>
      </c>
      <c r="E241" s="21">
        <v>1.95</v>
      </c>
      <c r="F241" s="21">
        <v>4.5</v>
      </c>
      <c r="G241" s="21">
        <v>3.15</v>
      </c>
      <c r="H241" s="21">
        <v>3.65</v>
      </c>
      <c r="I241" s="22">
        <f t="shared" si="10"/>
        <v>3</v>
      </c>
    </row>
    <row r="242" spans="3:9" x14ac:dyDescent="0.2">
      <c r="C242" s="25">
        <f t="shared" si="11"/>
        <v>44113</v>
      </c>
      <c r="D242" s="21">
        <v>2.85</v>
      </c>
      <c r="E242" s="21">
        <v>1.5</v>
      </c>
      <c r="F242" s="21">
        <v>3.7</v>
      </c>
      <c r="G242" s="21">
        <v>2.5499999999999998</v>
      </c>
      <c r="H242" s="21">
        <v>2.7</v>
      </c>
      <c r="I242" s="22">
        <f t="shared" si="10"/>
        <v>3</v>
      </c>
    </row>
    <row r="243" spans="3:9" x14ac:dyDescent="0.2">
      <c r="C243" s="25">
        <f t="shared" si="11"/>
        <v>44114</v>
      </c>
      <c r="D243" s="21">
        <v>3.55</v>
      </c>
      <c r="E243" s="21">
        <v>1.6</v>
      </c>
      <c r="F243" s="21">
        <v>3.95</v>
      </c>
      <c r="G243" s="21">
        <v>2.9</v>
      </c>
      <c r="H243" s="21">
        <v>3.35</v>
      </c>
      <c r="I243" s="22">
        <f t="shared" si="10"/>
        <v>3</v>
      </c>
    </row>
    <row r="244" spans="3:9" x14ac:dyDescent="0.2">
      <c r="C244" s="25">
        <f t="shared" si="11"/>
        <v>44115</v>
      </c>
      <c r="D244" s="21">
        <v>5.0999999999999996</v>
      </c>
      <c r="E244" s="21">
        <v>2.2000000000000002</v>
      </c>
      <c r="F244" s="21">
        <v>4.5</v>
      </c>
      <c r="G244" s="21">
        <v>3.3</v>
      </c>
      <c r="H244" s="21">
        <v>5.05</v>
      </c>
      <c r="I244" s="22">
        <f t="shared" si="10"/>
        <v>4</v>
      </c>
    </row>
    <row r="245" spans="3:9" x14ac:dyDescent="0.2">
      <c r="C245" s="25">
        <f t="shared" si="11"/>
        <v>44116</v>
      </c>
      <c r="D245" s="21">
        <v>5.15</v>
      </c>
      <c r="E245" s="21">
        <v>3.15</v>
      </c>
      <c r="F245" s="21">
        <v>5.2</v>
      </c>
      <c r="G245" s="21">
        <v>4.2</v>
      </c>
      <c r="H245" s="21">
        <v>4.5999999999999996</v>
      </c>
      <c r="I245" s="22">
        <f t="shared" si="10"/>
        <v>4</v>
      </c>
    </row>
    <row r="246" spans="3:9" x14ac:dyDescent="0.2">
      <c r="C246" s="25">
        <f t="shared" si="11"/>
        <v>44117</v>
      </c>
      <c r="D246" s="21">
        <v>6.95</v>
      </c>
      <c r="E246" s="21">
        <v>3.15</v>
      </c>
      <c r="F246" s="21">
        <v>6.95</v>
      </c>
      <c r="G246" s="21">
        <v>4.9000000000000004</v>
      </c>
      <c r="H246" s="21">
        <v>5.9</v>
      </c>
      <c r="I246" s="22">
        <f t="shared" si="10"/>
        <v>6</v>
      </c>
    </row>
    <row r="247" spans="3:9" x14ac:dyDescent="0.2">
      <c r="C247" s="25">
        <f t="shared" si="11"/>
        <v>44118</v>
      </c>
      <c r="D247" s="21">
        <v>7.1</v>
      </c>
      <c r="E247" s="21">
        <v>3.35</v>
      </c>
      <c r="F247" s="21">
        <v>6.8</v>
      </c>
      <c r="G247" s="21">
        <v>5.15</v>
      </c>
      <c r="H247" s="21">
        <v>6.45</v>
      </c>
      <c r="I247" s="22">
        <f t="shared" si="10"/>
        <v>6</v>
      </c>
    </row>
    <row r="248" spans="3:9" x14ac:dyDescent="0.2">
      <c r="C248" s="25">
        <f t="shared" si="11"/>
        <v>44119</v>
      </c>
      <c r="D248" s="21">
        <v>7.75</v>
      </c>
      <c r="E248" s="21">
        <v>4.3499999999999996</v>
      </c>
      <c r="F248" s="21">
        <v>8.15</v>
      </c>
      <c r="G248" s="21">
        <v>6.1</v>
      </c>
      <c r="H248" s="21">
        <v>6.75</v>
      </c>
      <c r="I248" s="22">
        <f t="shared" si="10"/>
        <v>7</v>
      </c>
    </row>
    <row r="249" spans="3:9" x14ac:dyDescent="0.2">
      <c r="C249" s="25">
        <f t="shared" si="11"/>
        <v>44120</v>
      </c>
      <c r="D249" s="21">
        <v>10.199999999999999</v>
      </c>
      <c r="E249" s="21">
        <v>7.55</v>
      </c>
      <c r="F249" s="21">
        <v>10.8</v>
      </c>
      <c r="G249" s="21">
        <v>8.6</v>
      </c>
      <c r="H249" s="21">
        <v>9.6</v>
      </c>
      <c r="I249" s="22">
        <f t="shared" si="10"/>
        <v>9</v>
      </c>
    </row>
    <row r="250" spans="3:9" x14ac:dyDescent="0.2">
      <c r="C250" s="25">
        <f t="shared" si="11"/>
        <v>44121</v>
      </c>
      <c r="D250" s="21">
        <v>9.9</v>
      </c>
      <c r="E250" s="21">
        <v>7.55</v>
      </c>
      <c r="F250" s="21">
        <v>11.15</v>
      </c>
      <c r="G250" s="21">
        <v>8.5</v>
      </c>
      <c r="H250" s="21">
        <v>9</v>
      </c>
      <c r="I250" s="22">
        <f t="shared" si="10"/>
        <v>9</v>
      </c>
    </row>
    <row r="251" spans="3:9" x14ac:dyDescent="0.2">
      <c r="C251" s="25">
        <f t="shared" si="11"/>
        <v>44122</v>
      </c>
      <c r="D251" s="21">
        <v>9.15</v>
      </c>
      <c r="E251" s="21">
        <v>6.65</v>
      </c>
      <c r="F251" s="21">
        <v>10.35</v>
      </c>
      <c r="G251" s="21">
        <v>8.0500000000000007</v>
      </c>
      <c r="H251" s="21">
        <v>8.4499999999999993</v>
      </c>
      <c r="I251" s="22">
        <f t="shared" si="10"/>
        <v>8</v>
      </c>
    </row>
    <row r="252" spans="3:9" x14ac:dyDescent="0.2">
      <c r="C252" s="25">
        <f t="shared" si="11"/>
        <v>44123</v>
      </c>
      <c r="D252" s="21">
        <v>9.35</v>
      </c>
      <c r="E252" s="21">
        <v>6.95</v>
      </c>
      <c r="F252" s="21">
        <v>9.4</v>
      </c>
      <c r="G252" s="21">
        <v>7.7</v>
      </c>
      <c r="H252" s="21">
        <v>8.5500000000000007</v>
      </c>
      <c r="I252" s="22">
        <f t="shared" si="10"/>
        <v>8</v>
      </c>
    </row>
    <row r="253" spans="3:9" x14ac:dyDescent="0.2">
      <c r="C253" s="25">
        <f t="shared" si="11"/>
        <v>44124</v>
      </c>
      <c r="D253" s="21">
        <v>8.0500000000000007</v>
      </c>
      <c r="E253" s="21">
        <v>6.4</v>
      </c>
      <c r="F253" s="21">
        <v>8.6999999999999993</v>
      </c>
      <c r="G253" s="21">
        <v>6.85</v>
      </c>
      <c r="H253" s="21">
        <v>6.85</v>
      </c>
      <c r="I253" s="22">
        <f t="shared" si="10"/>
        <v>7</v>
      </c>
    </row>
    <row r="254" spans="3:9" x14ac:dyDescent="0.2">
      <c r="C254" s="25">
        <f t="shared" si="11"/>
        <v>44125</v>
      </c>
      <c r="D254" s="21">
        <v>7.85</v>
      </c>
      <c r="E254" s="21">
        <v>5.6</v>
      </c>
      <c r="F254" s="21">
        <v>8.85</v>
      </c>
      <c r="G254" s="21">
        <v>6.55</v>
      </c>
      <c r="H254" s="21">
        <v>6.65</v>
      </c>
      <c r="I254" s="22">
        <f t="shared" si="10"/>
        <v>7</v>
      </c>
    </row>
    <row r="255" spans="3:9" x14ac:dyDescent="0.2">
      <c r="C255" s="25">
        <f t="shared" si="11"/>
        <v>44126</v>
      </c>
      <c r="D255" s="21">
        <v>8.8000000000000007</v>
      </c>
      <c r="E255" s="21">
        <v>5.9</v>
      </c>
      <c r="F255" s="21">
        <v>9.8000000000000007</v>
      </c>
      <c r="G255" s="21">
        <v>7.55</v>
      </c>
      <c r="H255" s="21">
        <v>7.6</v>
      </c>
      <c r="I255" s="22">
        <f t="shared" si="10"/>
        <v>8</v>
      </c>
    </row>
    <row r="256" spans="3:9" x14ac:dyDescent="0.2">
      <c r="C256" s="25">
        <f t="shared" si="11"/>
        <v>44127</v>
      </c>
      <c r="D256" s="21">
        <v>8.4499999999999993</v>
      </c>
      <c r="E256" s="21">
        <v>6.05</v>
      </c>
      <c r="F256" s="21">
        <v>9.25</v>
      </c>
      <c r="G256" s="21">
        <v>7.25</v>
      </c>
      <c r="H256" s="21">
        <v>7.75</v>
      </c>
      <c r="I256" s="22">
        <f t="shared" si="10"/>
        <v>8</v>
      </c>
    </row>
    <row r="257" spans="3:9" x14ac:dyDescent="0.2">
      <c r="C257" s="25">
        <f t="shared" si="11"/>
        <v>44128</v>
      </c>
      <c r="D257" s="21">
        <v>10.25</v>
      </c>
      <c r="E257" s="21">
        <v>8.1999999999999993</v>
      </c>
      <c r="F257" s="21">
        <v>11.55</v>
      </c>
      <c r="G257" s="21">
        <v>9.35</v>
      </c>
      <c r="H257" s="21">
        <v>9.6</v>
      </c>
      <c r="I257" s="22">
        <f t="shared" si="10"/>
        <v>10</v>
      </c>
    </row>
    <row r="258" spans="3:9" x14ac:dyDescent="0.2">
      <c r="C258" s="25">
        <f t="shared" si="11"/>
        <v>44129</v>
      </c>
      <c r="D258" s="21">
        <v>10.75</v>
      </c>
      <c r="E258" s="21">
        <v>7.85</v>
      </c>
      <c r="F258" s="21">
        <v>12.1</v>
      </c>
      <c r="G258" s="21">
        <v>9.65</v>
      </c>
      <c r="H258" s="21">
        <v>10</v>
      </c>
      <c r="I258" s="22">
        <f t="shared" si="10"/>
        <v>10</v>
      </c>
    </row>
    <row r="259" spans="3:9" x14ac:dyDescent="0.2">
      <c r="C259" s="25">
        <f t="shared" si="11"/>
        <v>44130</v>
      </c>
      <c r="D259" s="21">
        <v>11.05</v>
      </c>
      <c r="E259" s="21">
        <v>7.6</v>
      </c>
      <c r="F259" s="21">
        <v>11.2</v>
      </c>
      <c r="G259" s="21">
        <v>9.1999999999999993</v>
      </c>
      <c r="H259" s="21">
        <v>9.1</v>
      </c>
      <c r="I259" s="22">
        <f t="shared" si="10"/>
        <v>10</v>
      </c>
    </row>
    <row r="260" spans="3:9" x14ac:dyDescent="0.2">
      <c r="C260" s="25">
        <f t="shared" si="11"/>
        <v>44131</v>
      </c>
      <c r="D260" s="21">
        <v>12.75</v>
      </c>
      <c r="E260" s="21">
        <v>8.9</v>
      </c>
      <c r="F260" s="21">
        <v>13.15</v>
      </c>
      <c r="G260" s="21">
        <v>10.9</v>
      </c>
      <c r="H260" s="21">
        <v>12.05</v>
      </c>
      <c r="I260" s="22">
        <f t="shared" si="10"/>
        <v>12</v>
      </c>
    </row>
    <row r="261" spans="3:9" x14ac:dyDescent="0.2">
      <c r="C261" s="25">
        <f t="shared" si="11"/>
        <v>44132</v>
      </c>
      <c r="D261" s="21">
        <v>14</v>
      </c>
      <c r="E261" s="21">
        <v>10.3</v>
      </c>
      <c r="F261" s="21">
        <v>14.45</v>
      </c>
      <c r="G261" s="21">
        <v>12.15</v>
      </c>
      <c r="H261" s="21">
        <v>13.3</v>
      </c>
      <c r="I261" s="22">
        <f t="shared" si="10"/>
        <v>13</v>
      </c>
    </row>
    <row r="262" spans="3:9" x14ac:dyDescent="0.2">
      <c r="C262" s="25">
        <f t="shared" si="11"/>
        <v>44133</v>
      </c>
      <c r="D262" s="21">
        <v>14.75</v>
      </c>
      <c r="E262" s="21">
        <v>10.65</v>
      </c>
      <c r="F262" s="21">
        <v>15.25</v>
      </c>
      <c r="G262" s="21">
        <v>13</v>
      </c>
      <c r="H262" s="21">
        <v>13.3</v>
      </c>
      <c r="I262" s="22">
        <f t="shared" si="10"/>
        <v>13</v>
      </c>
    </row>
    <row r="263" spans="3:9" x14ac:dyDescent="0.2">
      <c r="C263" s="25">
        <f t="shared" si="11"/>
        <v>44134</v>
      </c>
      <c r="D263" s="21">
        <v>11.5</v>
      </c>
      <c r="E263" s="21">
        <v>9.1</v>
      </c>
      <c r="F263" s="21">
        <v>13.1</v>
      </c>
      <c r="G263" s="21">
        <v>10.65</v>
      </c>
      <c r="H263" s="21">
        <v>10.4</v>
      </c>
      <c r="I263" s="22">
        <f t="shared" si="10"/>
        <v>11</v>
      </c>
    </row>
    <row r="264" spans="3:9" x14ac:dyDescent="0.2">
      <c r="C264" s="25">
        <f t="shared" si="11"/>
        <v>44135</v>
      </c>
      <c r="D264" s="21">
        <v>12</v>
      </c>
      <c r="E264" s="21">
        <v>8.65</v>
      </c>
      <c r="F264" s="21">
        <v>11.5</v>
      </c>
      <c r="G264" s="21">
        <v>10.15</v>
      </c>
      <c r="H264" s="21">
        <v>10.7</v>
      </c>
      <c r="I264" s="22">
        <f t="shared" si="10"/>
        <v>11</v>
      </c>
    </row>
    <row r="265" spans="3:9" x14ac:dyDescent="0.2">
      <c r="C265" s="25">
        <f t="shared" si="11"/>
        <v>44136</v>
      </c>
      <c r="D265" s="21">
        <v>14.1</v>
      </c>
      <c r="E265" s="21">
        <v>10.199999999999999</v>
      </c>
      <c r="F265" s="21">
        <v>14</v>
      </c>
      <c r="G265" s="21">
        <v>11.6</v>
      </c>
      <c r="H265" s="21">
        <v>12.75</v>
      </c>
      <c r="I265" s="22">
        <f t="shared" si="10"/>
        <v>13</v>
      </c>
    </row>
    <row r="266" spans="3:9" x14ac:dyDescent="0.2">
      <c r="C266" s="25">
        <f t="shared" si="11"/>
        <v>44137</v>
      </c>
      <c r="D266" s="21">
        <v>13.75</v>
      </c>
      <c r="E266" s="21">
        <v>10.55</v>
      </c>
      <c r="F266" s="21">
        <v>14.45</v>
      </c>
      <c r="G266" s="21">
        <v>11.8</v>
      </c>
      <c r="H266" s="21">
        <v>12.45</v>
      </c>
      <c r="I266" s="22">
        <f t="shared" si="10"/>
        <v>13</v>
      </c>
    </row>
    <row r="267" spans="3:9" x14ac:dyDescent="0.2">
      <c r="C267" s="25">
        <f t="shared" si="11"/>
        <v>44138</v>
      </c>
      <c r="D267" s="21">
        <v>12.7</v>
      </c>
      <c r="E267" s="21">
        <v>10.1</v>
      </c>
      <c r="F267" s="21">
        <v>14.8</v>
      </c>
      <c r="G267" s="21">
        <v>11.7</v>
      </c>
      <c r="H267" s="21">
        <v>11.4</v>
      </c>
      <c r="I267" s="22">
        <f t="shared" si="10"/>
        <v>12</v>
      </c>
    </row>
    <row r="268" spans="3:9" x14ac:dyDescent="0.2">
      <c r="C268" s="25">
        <f t="shared" si="11"/>
        <v>44139</v>
      </c>
      <c r="D268" s="21">
        <v>11</v>
      </c>
      <c r="E268" s="21">
        <v>9.1</v>
      </c>
      <c r="F268" s="21">
        <v>12.35</v>
      </c>
      <c r="G268" s="21">
        <v>9.9</v>
      </c>
      <c r="H268" s="21">
        <v>10.35</v>
      </c>
      <c r="I268" s="22">
        <f t="shared" si="10"/>
        <v>10</v>
      </c>
    </row>
    <row r="269" spans="3:9" x14ac:dyDescent="0.2">
      <c r="C269" s="25">
        <f t="shared" si="11"/>
        <v>44140</v>
      </c>
      <c r="D269" s="21">
        <v>12.5</v>
      </c>
      <c r="E269" s="21">
        <v>8.85</v>
      </c>
      <c r="F269" s="21">
        <v>12.85</v>
      </c>
      <c r="G269" s="21">
        <v>10.8</v>
      </c>
      <c r="H269" s="21">
        <v>11.45</v>
      </c>
      <c r="I269" s="22">
        <f t="shared" si="10"/>
        <v>11</v>
      </c>
    </row>
    <row r="270" spans="3:9" x14ac:dyDescent="0.2">
      <c r="C270" s="25">
        <f t="shared" si="11"/>
        <v>44141</v>
      </c>
      <c r="D270" s="21">
        <v>14.95</v>
      </c>
      <c r="E270" s="21">
        <v>10.35</v>
      </c>
      <c r="F270" s="21">
        <v>14.15</v>
      </c>
      <c r="G270" s="21">
        <v>11.85</v>
      </c>
      <c r="H270" s="21">
        <v>13.7</v>
      </c>
      <c r="I270" s="22">
        <f t="shared" si="10"/>
        <v>13</v>
      </c>
    </row>
    <row r="271" spans="3:9" x14ac:dyDescent="0.2">
      <c r="C271" s="25">
        <f t="shared" si="11"/>
        <v>44142</v>
      </c>
      <c r="D271" s="21">
        <v>15.15</v>
      </c>
      <c r="E271" s="21">
        <v>12.15</v>
      </c>
      <c r="F271" s="21">
        <v>16</v>
      </c>
      <c r="G271" s="21">
        <v>13.25</v>
      </c>
      <c r="H271" s="21">
        <v>13.85</v>
      </c>
      <c r="I271" s="22">
        <f t="shared" si="10"/>
        <v>14</v>
      </c>
    </row>
    <row r="272" spans="3:9" x14ac:dyDescent="0.2">
      <c r="C272" s="25">
        <f t="shared" si="11"/>
        <v>44143</v>
      </c>
      <c r="D272" s="21">
        <v>14.5</v>
      </c>
      <c r="E272" s="21">
        <v>12.7</v>
      </c>
      <c r="F272" s="21">
        <v>16.25</v>
      </c>
      <c r="G272" s="21">
        <v>13.5</v>
      </c>
      <c r="H272" s="21">
        <v>13.15</v>
      </c>
      <c r="I272" s="22">
        <f t="shared" si="10"/>
        <v>14</v>
      </c>
    </row>
    <row r="273" spans="3:9" x14ac:dyDescent="0.2">
      <c r="C273" s="25">
        <f t="shared" si="11"/>
        <v>44144</v>
      </c>
      <c r="D273" s="21">
        <v>15.05</v>
      </c>
      <c r="E273" s="21">
        <v>11.95</v>
      </c>
      <c r="F273" s="21">
        <v>16.350000000000001</v>
      </c>
      <c r="G273" s="21">
        <v>13.45</v>
      </c>
      <c r="H273" s="21">
        <v>13.95</v>
      </c>
      <c r="I273" s="22">
        <f t="shared" si="10"/>
        <v>14</v>
      </c>
    </row>
    <row r="274" spans="3:9" x14ac:dyDescent="0.2">
      <c r="C274" s="25">
        <f t="shared" si="11"/>
        <v>44145</v>
      </c>
      <c r="D274" s="21">
        <v>15.05</v>
      </c>
      <c r="E274" s="21">
        <v>12.7</v>
      </c>
      <c r="F274" s="21">
        <v>15.7</v>
      </c>
      <c r="G274" s="21">
        <v>13.15</v>
      </c>
      <c r="H274" s="21">
        <v>13.7</v>
      </c>
      <c r="I274" s="22">
        <f t="shared" si="10"/>
        <v>14</v>
      </c>
    </row>
    <row r="275" spans="3:9" x14ac:dyDescent="0.2">
      <c r="C275" s="25">
        <f t="shared" si="11"/>
        <v>44146</v>
      </c>
      <c r="D275" s="21">
        <v>16.55</v>
      </c>
      <c r="E275" s="21">
        <v>11.9</v>
      </c>
      <c r="F275" s="21">
        <v>16.8</v>
      </c>
      <c r="G275" s="21">
        <v>14.25</v>
      </c>
      <c r="H275" s="21">
        <v>14.65</v>
      </c>
      <c r="I275" s="22">
        <f t="shared" si="10"/>
        <v>15</v>
      </c>
    </row>
    <row r="276" spans="3:9" x14ac:dyDescent="0.2">
      <c r="C276" s="25">
        <f t="shared" si="11"/>
        <v>44147</v>
      </c>
      <c r="D276" s="21">
        <v>19.100000000000001</v>
      </c>
      <c r="E276" s="21">
        <v>15.3</v>
      </c>
      <c r="F276" s="21">
        <v>19.399999999999999</v>
      </c>
      <c r="G276" s="21">
        <v>16.899999999999999</v>
      </c>
      <c r="H276" s="21">
        <v>17.7</v>
      </c>
      <c r="I276" s="22">
        <f t="shared" si="10"/>
        <v>18</v>
      </c>
    </row>
    <row r="277" spans="3:9" x14ac:dyDescent="0.2">
      <c r="C277" s="25">
        <f t="shared" si="11"/>
        <v>44148</v>
      </c>
      <c r="D277" s="21">
        <v>21.15</v>
      </c>
      <c r="E277" s="21">
        <v>16.5</v>
      </c>
      <c r="F277" s="21">
        <v>20.75</v>
      </c>
      <c r="G277" s="21">
        <v>18</v>
      </c>
      <c r="H277" s="21">
        <v>20.149999999999999</v>
      </c>
      <c r="I277" s="22">
        <f t="shared" si="10"/>
        <v>20</v>
      </c>
    </row>
    <row r="278" spans="3:9" x14ac:dyDescent="0.2">
      <c r="C278" s="25">
        <f t="shared" si="11"/>
        <v>44149</v>
      </c>
      <c r="D278" s="21">
        <v>19.350000000000001</v>
      </c>
      <c r="E278" s="21">
        <v>16.05</v>
      </c>
      <c r="F278" s="21">
        <v>20.399999999999999</v>
      </c>
      <c r="G278" s="21">
        <v>17.55</v>
      </c>
      <c r="H278" s="21">
        <v>18</v>
      </c>
      <c r="I278" s="22">
        <f t="shared" si="10"/>
        <v>18</v>
      </c>
    </row>
    <row r="279" spans="3:9" x14ac:dyDescent="0.2">
      <c r="C279" s="25">
        <f t="shared" si="11"/>
        <v>44150</v>
      </c>
      <c r="D279" s="21">
        <v>19.55</v>
      </c>
      <c r="E279" s="21">
        <v>16.149999999999999</v>
      </c>
      <c r="F279" s="21">
        <v>19.75</v>
      </c>
      <c r="G279" s="21">
        <v>17.7</v>
      </c>
      <c r="H279" s="21">
        <v>17.649999999999999</v>
      </c>
      <c r="I279" s="22">
        <f t="shared" si="10"/>
        <v>18</v>
      </c>
    </row>
    <row r="280" spans="3:9" x14ac:dyDescent="0.2">
      <c r="C280" s="25">
        <f t="shared" si="11"/>
        <v>44151</v>
      </c>
      <c r="D280" s="21">
        <v>20.2</v>
      </c>
      <c r="E280" s="21">
        <v>16.45</v>
      </c>
      <c r="F280" s="21">
        <v>20.149999999999999</v>
      </c>
      <c r="G280" s="21">
        <v>18.25</v>
      </c>
      <c r="H280" s="21">
        <v>18.600000000000001</v>
      </c>
      <c r="I280" s="22">
        <f t="shared" si="10"/>
        <v>19</v>
      </c>
    </row>
    <row r="281" spans="3:9" x14ac:dyDescent="0.2">
      <c r="C281" s="25">
        <f t="shared" si="11"/>
        <v>44152</v>
      </c>
      <c r="D281" s="21">
        <v>19.649999999999999</v>
      </c>
      <c r="E281" s="21">
        <v>16</v>
      </c>
      <c r="F281" s="21">
        <v>20.6</v>
      </c>
      <c r="G281" s="21">
        <v>18.55</v>
      </c>
      <c r="H281" s="21">
        <v>17.5</v>
      </c>
      <c r="I281" s="22">
        <f t="shared" si="10"/>
        <v>18</v>
      </c>
    </row>
    <row r="282" spans="3:9" x14ac:dyDescent="0.2">
      <c r="C282" s="25">
        <f t="shared" si="11"/>
        <v>44153</v>
      </c>
      <c r="D282" s="21">
        <v>19.350000000000001</v>
      </c>
      <c r="E282" s="21">
        <v>15.55</v>
      </c>
      <c r="F282" s="21">
        <v>19.5</v>
      </c>
      <c r="G282" s="21">
        <v>17.2</v>
      </c>
      <c r="H282" s="21">
        <v>17.95</v>
      </c>
      <c r="I282" s="22">
        <f t="shared" si="10"/>
        <v>18</v>
      </c>
    </row>
    <row r="283" spans="3:9" x14ac:dyDescent="0.2">
      <c r="C283" s="25">
        <f t="shared" si="11"/>
        <v>44154</v>
      </c>
      <c r="D283" s="21">
        <v>19.75</v>
      </c>
      <c r="E283" s="21">
        <v>15.1</v>
      </c>
      <c r="F283" s="21">
        <v>19.600000000000001</v>
      </c>
      <c r="G283" s="21">
        <v>17.600000000000001</v>
      </c>
      <c r="H283" s="21">
        <v>17.7</v>
      </c>
      <c r="I283" s="22">
        <f t="shared" si="10"/>
        <v>18</v>
      </c>
    </row>
    <row r="284" spans="3:9" x14ac:dyDescent="0.2">
      <c r="C284" s="25">
        <f t="shared" si="11"/>
        <v>44155</v>
      </c>
      <c r="D284" s="21">
        <v>20.6</v>
      </c>
      <c r="E284" s="21">
        <v>16.25</v>
      </c>
      <c r="F284" s="21">
        <v>20.65</v>
      </c>
      <c r="G284" s="21">
        <v>18.05</v>
      </c>
      <c r="H284" s="21">
        <v>18.649999999999999</v>
      </c>
      <c r="I284" s="22">
        <f t="shared" si="10"/>
        <v>19</v>
      </c>
    </row>
    <row r="285" spans="3:9" x14ac:dyDescent="0.2">
      <c r="C285" s="25">
        <f t="shared" si="11"/>
        <v>44156</v>
      </c>
      <c r="D285" s="21">
        <v>19.75</v>
      </c>
      <c r="E285" s="21">
        <v>14.95</v>
      </c>
      <c r="F285" s="21">
        <v>18.399999999999999</v>
      </c>
      <c r="G285" s="21">
        <v>16.5</v>
      </c>
      <c r="H285" s="21">
        <v>17.850000000000001</v>
      </c>
      <c r="I285" s="22">
        <f t="shared" si="10"/>
        <v>18</v>
      </c>
    </row>
    <row r="286" spans="3:9" x14ac:dyDescent="0.2">
      <c r="C286" s="25">
        <f t="shared" si="11"/>
        <v>44157</v>
      </c>
      <c r="D286" s="21">
        <v>20.399999999999999</v>
      </c>
      <c r="E286" s="21">
        <v>16.350000000000001</v>
      </c>
      <c r="F286" s="21">
        <v>20.149999999999999</v>
      </c>
      <c r="G286" s="21">
        <v>17.7</v>
      </c>
      <c r="H286" s="21">
        <v>18.7</v>
      </c>
      <c r="I286" s="22">
        <f t="shared" si="10"/>
        <v>19</v>
      </c>
    </row>
    <row r="287" spans="3:9" x14ac:dyDescent="0.2">
      <c r="C287" s="25">
        <f t="shared" si="11"/>
        <v>44158</v>
      </c>
      <c r="D287" s="21">
        <v>20.9</v>
      </c>
      <c r="E287" s="21">
        <v>17.149999999999999</v>
      </c>
      <c r="F287" s="21">
        <v>21.3</v>
      </c>
      <c r="G287" s="21">
        <v>18.600000000000001</v>
      </c>
      <c r="H287" s="21">
        <v>19.350000000000001</v>
      </c>
      <c r="I287" s="22">
        <f t="shared" si="10"/>
        <v>19</v>
      </c>
    </row>
    <row r="288" spans="3:9" x14ac:dyDescent="0.2">
      <c r="C288" s="25">
        <f t="shared" si="11"/>
        <v>44159</v>
      </c>
      <c r="D288" s="21">
        <v>21.05</v>
      </c>
      <c r="E288" s="21">
        <v>17.649999999999999</v>
      </c>
      <c r="F288" s="21">
        <v>21.05</v>
      </c>
      <c r="G288" s="21">
        <v>19.5</v>
      </c>
      <c r="H288" s="21">
        <v>19.75</v>
      </c>
      <c r="I288" s="22">
        <f t="shared" si="10"/>
        <v>20</v>
      </c>
    </row>
    <row r="289" spans="3:9" x14ac:dyDescent="0.2">
      <c r="C289" s="25">
        <f t="shared" si="11"/>
        <v>44160</v>
      </c>
      <c r="D289" s="21">
        <v>22.1</v>
      </c>
      <c r="E289" s="21">
        <v>17.899999999999999</v>
      </c>
      <c r="F289" s="21">
        <v>21.5</v>
      </c>
      <c r="G289" s="21">
        <v>19.7</v>
      </c>
      <c r="H289" s="21">
        <v>20.399999999999999</v>
      </c>
      <c r="I289" s="22">
        <f t="shared" si="10"/>
        <v>20</v>
      </c>
    </row>
    <row r="290" spans="3:9" x14ac:dyDescent="0.2">
      <c r="C290" s="25">
        <f t="shared" si="11"/>
        <v>44161</v>
      </c>
      <c r="D290" s="21">
        <v>21.2</v>
      </c>
      <c r="E290" s="21">
        <v>17.75</v>
      </c>
      <c r="F290" s="21">
        <v>21.45</v>
      </c>
      <c r="G290" s="21">
        <v>19.649999999999999</v>
      </c>
      <c r="H290" s="21">
        <v>19.850000000000001</v>
      </c>
      <c r="I290" s="22">
        <f t="shared" si="10"/>
        <v>20</v>
      </c>
    </row>
    <row r="291" spans="3:9" x14ac:dyDescent="0.2">
      <c r="C291" s="25">
        <f t="shared" si="11"/>
        <v>44162</v>
      </c>
      <c r="D291" s="21">
        <v>22.5</v>
      </c>
      <c r="E291" s="21">
        <v>18.649999999999999</v>
      </c>
      <c r="F291" s="21">
        <v>21.9</v>
      </c>
      <c r="G291" s="21">
        <v>19.600000000000001</v>
      </c>
      <c r="H291" s="21">
        <v>21.2</v>
      </c>
      <c r="I291" s="22">
        <f t="shared" ref="I291:I354" si="12">IFERROR(ROUND((D291*D$29)+(E291*E$29)+(F291*F$29)+(G291*G$29)+(H291*H$29),0),0)</f>
        <v>21</v>
      </c>
    </row>
    <row r="292" spans="3:9" x14ac:dyDescent="0.2">
      <c r="C292" s="25">
        <f t="shared" si="11"/>
        <v>44163</v>
      </c>
      <c r="D292" s="21">
        <v>23.5</v>
      </c>
      <c r="E292" s="21">
        <v>19.25</v>
      </c>
      <c r="F292" s="21">
        <v>23.3</v>
      </c>
      <c r="G292" s="21">
        <v>21.55</v>
      </c>
      <c r="H292" s="21">
        <v>22.55</v>
      </c>
      <c r="I292" s="22">
        <f t="shared" si="12"/>
        <v>22</v>
      </c>
    </row>
    <row r="293" spans="3:9" x14ac:dyDescent="0.2">
      <c r="C293" s="25">
        <f t="shared" ref="C293:C356" si="13">C292+1</f>
        <v>44164</v>
      </c>
      <c r="D293" s="21">
        <v>20</v>
      </c>
      <c r="E293" s="21">
        <v>16.7</v>
      </c>
      <c r="F293" s="21">
        <v>20.85</v>
      </c>
      <c r="G293" s="21">
        <v>18.649999999999999</v>
      </c>
      <c r="H293" s="21">
        <v>19.5</v>
      </c>
      <c r="I293" s="22">
        <f t="shared" si="12"/>
        <v>19</v>
      </c>
    </row>
    <row r="294" spans="3:9" x14ac:dyDescent="0.2">
      <c r="C294" s="25">
        <f t="shared" si="13"/>
        <v>44165</v>
      </c>
      <c r="D294" s="21">
        <v>20.9</v>
      </c>
      <c r="E294" s="21">
        <v>15.9</v>
      </c>
      <c r="F294" s="21">
        <v>19.3</v>
      </c>
      <c r="G294" s="21">
        <v>17.399999999999999</v>
      </c>
      <c r="H294" s="21">
        <v>20.399999999999999</v>
      </c>
      <c r="I294" s="22">
        <f t="shared" si="12"/>
        <v>19</v>
      </c>
    </row>
    <row r="295" spans="3:9" x14ac:dyDescent="0.2">
      <c r="C295" s="25">
        <f t="shared" si="13"/>
        <v>44166</v>
      </c>
      <c r="D295" s="21">
        <v>24.85</v>
      </c>
      <c r="E295" s="21">
        <v>19.899999999999999</v>
      </c>
      <c r="F295" s="21">
        <v>24.25</v>
      </c>
      <c r="G295" s="21">
        <v>21.85</v>
      </c>
      <c r="H295" s="21">
        <v>24.05</v>
      </c>
      <c r="I295" s="22">
        <f t="shared" si="12"/>
        <v>23</v>
      </c>
    </row>
    <row r="296" spans="3:9" x14ac:dyDescent="0.2">
      <c r="C296" s="25">
        <f t="shared" si="13"/>
        <v>44167</v>
      </c>
      <c r="D296" s="21">
        <v>24.5</v>
      </c>
      <c r="E296" s="21">
        <v>20.399999999999999</v>
      </c>
      <c r="F296" s="21">
        <v>25.4</v>
      </c>
      <c r="G296" s="21">
        <v>22.7</v>
      </c>
      <c r="H296" s="21">
        <v>23.85</v>
      </c>
      <c r="I296" s="22">
        <f t="shared" si="12"/>
        <v>23</v>
      </c>
    </row>
    <row r="297" spans="3:9" x14ac:dyDescent="0.2">
      <c r="C297" s="25">
        <f t="shared" si="13"/>
        <v>44168</v>
      </c>
      <c r="D297" s="21">
        <v>24.65</v>
      </c>
      <c r="E297" s="21">
        <v>20.5</v>
      </c>
      <c r="F297" s="21">
        <v>24.9</v>
      </c>
      <c r="G297" s="21">
        <v>23.15</v>
      </c>
      <c r="H297" s="21">
        <v>23.25</v>
      </c>
      <c r="I297" s="22">
        <f t="shared" si="12"/>
        <v>23</v>
      </c>
    </row>
    <row r="298" spans="3:9" x14ac:dyDescent="0.2">
      <c r="C298" s="25">
        <f t="shared" si="13"/>
        <v>44169</v>
      </c>
      <c r="D298" s="21">
        <v>24.25</v>
      </c>
      <c r="E298" s="21">
        <v>18.7</v>
      </c>
      <c r="F298" s="21">
        <v>24.65</v>
      </c>
      <c r="G298" s="21">
        <v>22.75</v>
      </c>
      <c r="H298" s="21">
        <v>22.15</v>
      </c>
      <c r="I298" s="22">
        <f t="shared" si="12"/>
        <v>22</v>
      </c>
    </row>
    <row r="299" spans="3:9" x14ac:dyDescent="0.2">
      <c r="C299" s="25">
        <f t="shared" si="13"/>
        <v>44170</v>
      </c>
      <c r="D299" s="21">
        <v>27.05</v>
      </c>
      <c r="E299" s="21">
        <v>22.1</v>
      </c>
      <c r="F299" s="21">
        <v>27</v>
      </c>
      <c r="G299" s="21">
        <v>24.5</v>
      </c>
      <c r="H299" s="21">
        <v>25.6</v>
      </c>
      <c r="I299" s="22">
        <f t="shared" si="12"/>
        <v>25</v>
      </c>
    </row>
    <row r="300" spans="3:9" x14ac:dyDescent="0.2">
      <c r="C300" s="25">
        <f t="shared" si="13"/>
        <v>44171</v>
      </c>
      <c r="D300" s="21">
        <v>27.55</v>
      </c>
      <c r="E300" s="21">
        <v>23.25</v>
      </c>
      <c r="F300" s="21">
        <v>28.8</v>
      </c>
      <c r="G300" s="21">
        <v>26.65</v>
      </c>
      <c r="H300" s="21">
        <v>26</v>
      </c>
      <c r="I300" s="22">
        <f t="shared" si="12"/>
        <v>26</v>
      </c>
    </row>
    <row r="301" spans="3:9" x14ac:dyDescent="0.2">
      <c r="C301" s="25">
        <f t="shared" si="13"/>
        <v>44172</v>
      </c>
      <c r="D301" s="21">
        <v>29.7</v>
      </c>
      <c r="E301" s="21">
        <v>23.85</v>
      </c>
      <c r="F301" s="21">
        <v>29.6</v>
      </c>
      <c r="G301" s="21">
        <v>28.3</v>
      </c>
      <c r="H301" s="21">
        <v>27.9</v>
      </c>
      <c r="I301" s="22">
        <f t="shared" si="12"/>
        <v>28</v>
      </c>
    </row>
    <row r="302" spans="3:9" x14ac:dyDescent="0.2">
      <c r="C302" s="25">
        <f t="shared" si="13"/>
        <v>44173</v>
      </c>
      <c r="D302" s="21">
        <v>28.4</v>
      </c>
      <c r="E302" s="21">
        <v>23.1</v>
      </c>
      <c r="F302" s="21">
        <v>29.7</v>
      </c>
      <c r="G302" s="21">
        <v>27.4</v>
      </c>
      <c r="H302" s="21">
        <v>27.45</v>
      </c>
      <c r="I302" s="22">
        <f t="shared" si="12"/>
        <v>27</v>
      </c>
    </row>
    <row r="303" spans="3:9" x14ac:dyDescent="0.2">
      <c r="C303" s="25">
        <f t="shared" si="13"/>
        <v>44174</v>
      </c>
      <c r="D303" s="21">
        <v>26.65</v>
      </c>
      <c r="E303" s="21">
        <v>20.85</v>
      </c>
      <c r="F303" s="21">
        <v>26.05</v>
      </c>
      <c r="G303" s="21">
        <v>24.2</v>
      </c>
      <c r="H303" s="21">
        <v>25.65</v>
      </c>
      <c r="I303" s="22">
        <f t="shared" si="12"/>
        <v>25</v>
      </c>
    </row>
    <row r="304" spans="3:9" x14ac:dyDescent="0.2">
      <c r="C304" s="25">
        <f t="shared" si="13"/>
        <v>44175</v>
      </c>
      <c r="D304" s="21">
        <v>29.45</v>
      </c>
      <c r="E304" s="21">
        <v>23.6</v>
      </c>
      <c r="F304" s="21">
        <v>27.45</v>
      </c>
      <c r="G304" s="21">
        <v>26.25</v>
      </c>
      <c r="H304" s="21">
        <v>28.35</v>
      </c>
      <c r="I304" s="22">
        <f t="shared" si="12"/>
        <v>27</v>
      </c>
    </row>
    <row r="305" spans="3:9" x14ac:dyDescent="0.2">
      <c r="C305" s="25">
        <f t="shared" si="13"/>
        <v>44176</v>
      </c>
      <c r="D305" s="21">
        <v>26.8</v>
      </c>
      <c r="E305" s="21">
        <v>23.15</v>
      </c>
      <c r="F305" s="21">
        <v>26.95</v>
      </c>
      <c r="G305" s="21">
        <v>24.75</v>
      </c>
      <c r="H305" s="21">
        <v>24.8</v>
      </c>
      <c r="I305" s="22">
        <f t="shared" si="12"/>
        <v>25</v>
      </c>
    </row>
    <row r="306" spans="3:9" x14ac:dyDescent="0.2">
      <c r="C306" s="25">
        <f t="shared" si="13"/>
        <v>44177</v>
      </c>
      <c r="D306" s="21">
        <v>27</v>
      </c>
      <c r="E306" s="21">
        <v>22.45</v>
      </c>
      <c r="F306" s="21">
        <v>26.7</v>
      </c>
      <c r="G306" s="21">
        <v>24.7</v>
      </c>
      <c r="H306" s="21">
        <v>24.6</v>
      </c>
      <c r="I306" s="22">
        <f t="shared" si="12"/>
        <v>25</v>
      </c>
    </row>
    <row r="307" spans="3:9" x14ac:dyDescent="0.2">
      <c r="C307" s="25">
        <f t="shared" si="13"/>
        <v>44178</v>
      </c>
      <c r="D307" s="21">
        <v>26.25</v>
      </c>
      <c r="E307" s="21">
        <v>22</v>
      </c>
      <c r="F307" s="21">
        <v>25.9</v>
      </c>
      <c r="G307" s="21">
        <v>23.75</v>
      </c>
      <c r="H307" s="21">
        <v>24.45</v>
      </c>
      <c r="I307" s="22">
        <f t="shared" si="12"/>
        <v>24</v>
      </c>
    </row>
    <row r="308" spans="3:9" x14ac:dyDescent="0.2">
      <c r="C308" s="25">
        <f t="shared" si="13"/>
        <v>44179</v>
      </c>
      <c r="D308" s="21">
        <v>25.45</v>
      </c>
      <c r="E308" s="21">
        <v>21.15</v>
      </c>
      <c r="F308" s="21">
        <v>25</v>
      </c>
      <c r="G308" s="21">
        <v>23.25</v>
      </c>
      <c r="H308" s="21">
        <v>24.2</v>
      </c>
      <c r="I308" s="22">
        <f t="shared" si="12"/>
        <v>24</v>
      </c>
    </row>
    <row r="309" spans="3:9" x14ac:dyDescent="0.2">
      <c r="C309" s="25">
        <f t="shared" si="13"/>
        <v>44180</v>
      </c>
      <c r="D309" s="21">
        <v>27.05</v>
      </c>
      <c r="E309" s="21">
        <v>22.25</v>
      </c>
      <c r="F309" s="21">
        <v>27.3</v>
      </c>
      <c r="G309" s="21">
        <v>25.65</v>
      </c>
      <c r="H309" s="21">
        <v>24.7</v>
      </c>
      <c r="I309" s="22">
        <f t="shared" si="12"/>
        <v>25</v>
      </c>
    </row>
    <row r="310" spans="3:9" x14ac:dyDescent="0.2">
      <c r="C310" s="25">
        <f t="shared" si="13"/>
        <v>44181</v>
      </c>
      <c r="D310" s="21">
        <v>27.1</v>
      </c>
      <c r="E310" s="21">
        <v>20.149999999999999</v>
      </c>
      <c r="F310" s="21">
        <v>25.8</v>
      </c>
      <c r="G310" s="21">
        <v>24.55</v>
      </c>
      <c r="H310" s="21">
        <v>25.25</v>
      </c>
      <c r="I310" s="22">
        <f t="shared" si="12"/>
        <v>25</v>
      </c>
    </row>
    <row r="311" spans="3:9" x14ac:dyDescent="0.2">
      <c r="C311" s="25">
        <f t="shared" si="13"/>
        <v>44182</v>
      </c>
      <c r="D311" s="21">
        <v>26.9</v>
      </c>
      <c r="E311" s="21">
        <v>21.2</v>
      </c>
      <c r="F311" s="21">
        <v>26.5</v>
      </c>
      <c r="G311" s="21">
        <v>24.05</v>
      </c>
      <c r="H311" s="21">
        <v>25.55</v>
      </c>
      <c r="I311" s="22">
        <f t="shared" si="12"/>
        <v>25</v>
      </c>
    </row>
    <row r="312" spans="3:9" x14ac:dyDescent="0.2">
      <c r="C312" s="25">
        <f t="shared" si="13"/>
        <v>44183</v>
      </c>
      <c r="D312" s="21">
        <v>28.2</v>
      </c>
      <c r="E312" s="21">
        <v>23.65</v>
      </c>
      <c r="F312" s="21">
        <v>28.4</v>
      </c>
      <c r="G312" s="21">
        <v>26.4</v>
      </c>
      <c r="H312" s="21">
        <v>26.05</v>
      </c>
      <c r="I312" s="22">
        <f t="shared" si="12"/>
        <v>26</v>
      </c>
    </row>
    <row r="313" spans="3:9" x14ac:dyDescent="0.2">
      <c r="C313" s="25">
        <f t="shared" si="13"/>
        <v>44184</v>
      </c>
      <c r="D313" s="21">
        <v>27.8</v>
      </c>
      <c r="E313" s="21">
        <v>23.15</v>
      </c>
      <c r="F313" s="21">
        <v>27.85</v>
      </c>
      <c r="G313" s="21">
        <v>25.7</v>
      </c>
      <c r="H313" s="21">
        <v>25.85</v>
      </c>
      <c r="I313" s="22">
        <f t="shared" si="12"/>
        <v>26</v>
      </c>
    </row>
    <row r="314" spans="3:9" x14ac:dyDescent="0.2">
      <c r="C314" s="25">
        <f t="shared" si="13"/>
        <v>44185</v>
      </c>
      <c r="D314" s="21">
        <v>26.9</v>
      </c>
      <c r="E314" s="21">
        <v>23.55</v>
      </c>
      <c r="F314" s="21">
        <v>29.25</v>
      </c>
      <c r="G314" s="21">
        <v>26</v>
      </c>
      <c r="H314" s="21">
        <v>25.45</v>
      </c>
      <c r="I314" s="22">
        <f t="shared" si="12"/>
        <v>26</v>
      </c>
    </row>
    <row r="315" spans="3:9" x14ac:dyDescent="0.2">
      <c r="C315" s="25">
        <f t="shared" si="13"/>
        <v>44186</v>
      </c>
      <c r="D315" s="21">
        <v>24.1</v>
      </c>
      <c r="E315" s="21">
        <v>19.95</v>
      </c>
      <c r="F315" s="21">
        <v>25</v>
      </c>
      <c r="G315" s="21">
        <v>22.6</v>
      </c>
      <c r="H315" s="21">
        <v>22.85</v>
      </c>
      <c r="I315" s="22">
        <f t="shared" si="12"/>
        <v>23</v>
      </c>
    </row>
    <row r="316" spans="3:9" x14ac:dyDescent="0.2">
      <c r="C316" s="25">
        <f t="shared" si="13"/>
        <v>44187</v>
      </c>
      <c r="D316" s="21">
        <v>24.75</v>
      </c>
      <c r="E316" s="21">
        <v>19.600000000000001</v>
      </c>
      <c r="F316" s="21">
        <v>24.45</v>
      </c>
      <c r="G316" s="21">
        <v>22.55</v>
      </c>
      <c r="H316" s="21">
        <v>22.9</v>
      </c>
      <c r="I316" s="22">
        <f t="shared" si="12"/>
        <v>23</v>
      </c>
    </row>
    <row r="317" spans="3:9" x14ac:dyDescent="0.2">
      <c r="C317" s="25">
        <f t="shared" si="13"/>
        <v>44188</v>
      </c>
      <c r="D317" s="21">
        <v>25.55</v>
      </c>
      <c r="E317" s="21">
        <v>20.45</v>
      </c>
      <c r="F317" s="21">
        <v>24.6</v>
      </c>
      <c r="G317" s="21">
        <v>22.9</v>
      </c>
      <c r="H317" s="21">
        <v>23.55</v>
      </c>
      <c r="I317" s="22">
        <f t="shared" si="12"/>
        <v>23</v>
      </c>
    </row>
    <row r="318" spans="3:9" x14ac:dyDescent="0.2">
      <c r="C318" s="25">
        <f t="shared" si="13"/>
        <v>44189</v>
      </c>
      <c r="D318" s="21">
        <v>29.2</v>
      </c>
      <c r="E318" s="21">
        <v>22.5</v>
      </c>
      <c r="F318" s="21">
        <v>27.65</v>
      </c>
      <c r="G318" s="21">
        <v>26.45</v>
      </c>
      <c r="H318" s="21">
        <v>27.75</v>
      </c>
      <c r="I318" s="22">
        <f t="shared" si="12"/>
        <v>27</v>
      </c>
    </row>
    <row r="319" spans="3:9" x14ac:dyDescent="0.2">
      <c r="C319" s="25">
        <f t="shared" si="13"/>
        <v>44190</v>
      </c>
      <c r="D319" s="21">
        <v>30.05</v>
      </c>
      <c r="E319" s="21">
        <v>25.55</v>
      </c>
      <c r="F319" s="21">
        <v>30.05</v>
      </c>
      <c r="G319" s="21">
        <v>28.8</v>
      </c>
      <c r="H319" s="21">
        <v>28.8</v>
      </c>
      <c r="I319" s="22">
        <f t="shared" si="12"/>
        <v>29</v>
      </c>
    </row>
    <row r="320" spans="3:9" x14ac:dyDescent="0.2">
      <c r="C320" s="25">
        <f t="shared" si="13"/>
        <v>44191</v>
      </c>
      <c r="D320" s="21">
        <v>28.3</v>
      </c>
      <c r="E320" s="21">
        <v>24.1</v>
      </c>
      <c r="F320" s="21">
        <v>27.75</v>
      </c>
      <c r="G320" s="21">
        <v>26.55</v>
      </c>
      <c r="H320" s="21">
        <v>26.3</v>
      </c>
      <c r="I320" s="22">
        <f t="shared" si="12"/>
        <v>26</v>
      </c>
    </row>
    <row r="321" spans="3:9" x14ac:dyDescent="0.2">
      <c r="C321" s="25">
        <f t="shared" si="13"/>
        <v>44192</v>
      </c>
      <c r="D321" s="21">
        <v>27.1</v>
      </c>
      <c r="E321" s="21">
        <v>21.75</v>
      </c>
      <c r="F321" s="21">
        <v>26.1</v>
      </c>
      <c r="G321" s="21">
        <v>24.8</v>
      </c>
      <c r="H321" s="21">
        <v>25.55</v>
      </c>
      <c r="I321" s="22">
        <f t="shared" si="12"/>
        <v>25</v>
      </c>
    </row>
    <row r="322" spans="3:9" x14ac:dyDescent="0.2">
      <c r="C322" s="25">
        <f t="shared" si="13"/>
        <v>44193</v>
      </c>
      <c r="D322" s="21">
        <v>25.55</v>
      </c>
      <c r="E322" s="21">
        <v>21.65</v>
      </c>
      <c r="F322" s="21">
        <v>25.4</v>
      </c>
      <c r="G322" s="21">
        <v>23.55</v>
      </c>
      <c r="H322" s="21">
        <v>25</v>
      </c>
      <c r="I322" s="22">
        <f t="shared" si="12"/>
        <v>24</v>
      </c>
    </row>
    <row r="323" spans="3:9" x14ac:dyDescent="0.2">
      <c r="C323" s="25">
        <f t="shared" si="13"/>
        <v>44194</v>
      </c>
      <c r="D323" s="21">
        <v>27.3</v>
      </c>
      <c r="E323" s="21">
        <v>22.35</v>
      </c>
      <c r="F323" s="21">
        <v>26.75</v>
      </c>
      <c r="G323" s="21">
        <v>24.8</v>
      </c>
      <c r="H323" s="21">
        <v>25.55</v>
      </c>
      <c r="I323" s="22">
        <f t="shared" si="12"/>
        <v>25</v>
      </c>
    </row>
    <row r="324" spans="3:9" x14ac:dyDescent="0.2">
      <c r="C324" s="25">
        <f t="shared" si="13"/>
        <v>44195</v>
      </c>
      <c r="D324" s="21">
        <v>26.9</v>
      </c>
      <c r="E324" s="21">
        <v>24.15</v>
      </c>
      <c r="F324" s="21">
        <v>26.5</v>
      </c>
      <c r="G324" s="21">
        <v>24.95</v>
      </c>
      <c r="H324" s="21">
        <v>24.7</v>
      </c>
      <c r="I324" s="22">
        <f t="shared" si="12"/>
        <v>25</v>
      </c>
    </row>
    <row r="325" spans="3:9" x14ac:dyDescent="0.2">
      <c r="C325" s="25">
        <f t="shared" si="13"/>
        <v>44196</v>
      </c>
      <c r="D325" s="21">
        <v>26.85</v>
      </c>
      <c r="E325" s="21">
        <v>21.8</v>
      </c>
      <c r="F325" s="21">
        <v>26.6</v>
      </c>
      <c r="G325" s="21">
        <v>24.7</v>
      </c>
      <c r="H325" s="21">
        <v>24.65</v>
      </c>
      <c r="I325" s="22">
        <f t="shared" si="12"/>
        <v>25</v>
      </c>
    </row>
    <row r="326" spans="3:9" x14ac:dyDescent="0.2">
      <c r="C326" s="25">
        <f t="shared" si="13"/>
        <v>44197</v>
      </c>
      <c r="D326" s="21">
        <v>28.95</v>
      </c>
      <c r="E326" s="21">
        <v>23.15</v>
      </c>
      <c r="F326" s="21">
        <v>27.6</v>
      </c>
      <c r="G326" s="21">
        <v>26.9</v>
      </c>
      <c r="H326" s="21">
        <v>27.65</v>
      </c>
      <c r="I326" s="22">
        <f t="shared" si="12"/>
        <v>27</v>
      </c>
    </row>
    <row r="327" spans="3:9" x14ac:dyDescent="0.2">
      <c r="C327" s="25">
        <f t="shared" si="13"/>
        <v>44198</v>
      </c>
      <c r="D327" s="21">
        <v>29.75</v>
      </c>
      <c r="E327" s="21">
        <v>24.65</v>
      </c>
      <c r="F327" s="21">
        <v>29.65</v>
      </c>
      <c r="G327" s="21">
        <v>27.9</v>
      </c>
      <c r="H327" s="21">
        <v>28.3</v>
      </c>
      <c r="I327" s="22">
        <f t="shared" si="12"/>
        <v>28</v>
      </c>
    </row>
    <row r="328" spans="3:9" x14ac:dyDescent="0.2">
      <c r="C328" s="25">
        <f t="shared" si="13"/>
        <v>44199</v>
      </c>
      <c r="D328" s="21">
        <v>29.5</v>
      </c>
      <c r="E328" s="21">
        <v>25.1</v>
      </c>
      <c r="F328" s="21">
        <v>29.35</v>
      </c>
      <c r="G328" s="21">
        <v>27.25</v>
      </c>
      <c r="H328" s="21">
        <v>27.7</v>
      </c>
      <c r="I328" s="22">
        <f t="shared" si="12"/>
        <v>28</v>
      </c>
    </row>
    <row r="329" spans="3:9" x14ac:dyDescent="0.2">
      <c r="C329" s="25">
        <f t="shared" si="13"/>
        <v>44200</v>
      </c>
      <c r="D329" s="21">
        <v>29.65</v>
      </c>
      <c r="E329" s="21">
        <v>24.45</v>
      </c>
      <c r="F329" s="21">
        <v>27.7</v>
      </c>
      <c r="G329" s="21">
        <v>26.35</v>
      </c>
      <c r="H329" s="21">
        <v>28.4</v>
      </c>
      <c r="I329" s="22">
        <f t="shared" si="12"/>
        <v>28</v>
      </c>
    </row>
    <row r="330" spans="3:9" x14ac:dyDescent="0.2">
      <c r="C330" s="25">
        <f t="shared" si="13"/>
        <v>44201</v>
      </c>
      <c r="D330" s="21">
        <v>31.5</v>
      </c>
      <c r="E330" s="21">
        <v>25.7</v>
      </c>
      <c r="F330" s="21">
        <v>29.65</v>
      </c>
      <c r="G330" s="21">
        <v>28.4</v>
      </c>
      <c r="H330" s="21">
        <v>29.9</v>
      </c>
      <c r="I330" s="22">
        <f t="shared" si="12"/>
        <v>29</v>
      </c>
    </row>
    <row r="331" spans="3:9" x14ac:dyDescent="0.2">
      <c r="C331" s="25">
        <f t="shared" si="13"/>
        <v>44202</v>
      </c>
      <c r="D331" s="21">
        <v>33.700000000000003</v>
      </c>
      <c r="E331" s="21">
        <v>27.75</v>
      </c>
      <c r="F331" s="21">
        <v>31.9</v>
      </c>
      <c r="G331" s="21">
        <v>31.05</v>
      </c>
      <c r="H331" s="21">
        <v>31.95</v>
      </c>
      <c r="I331" s="22">
        <f t="shared" si="12"/>
        <v>31</v>
      </c>
    </row>
    <row r="332" spans="3:9" x14ac:dyDescent="0.2">
      <c r="C332" s="25">
        <f t="shared" si="13"/>
        <v>44203</v>
      </c>
      <c r="D332" s="21">
        <v>33</v>
      </c>
      <c r="E332" s="21">
        <v>27.6</v>
      </c>
      <c r="F332" s="21">
        <v>32.75</v>
      </c>
      <c r="G332" s="21">
        <v>31.25</v>
      </c>
      <c r="H332" s="21">
        <v>30.45</v>
      </c>
      <c r="I332" s="22">
        <f t="shared" si="12"/>
        <v>31</v>
      </c>
    </row>
    <row r="333" spans="3:9" x14ac:dyDescent="0.2">
      <c r="C333" s="25">
        <f t="shared" si="13"/>
        <v>44204</v>
      </c>
      <c r="D333" s="21">
        <v>29.85</v>
      </c>
      <c r="E333" s="21">
        <v>25.7</v>
      </c>
      <c r="F333" s="21">
        <v>31.2</v>
      </c>
      <c r="G333" s="21">
        <v>28.95</v>
      </c>
      <c r="H333" s="21">
        <v>27.9</v>
      </c>
      <c r="I333" s="22">
        <f t="shared" si="12"/>
        <v>28</v>
      </c>
    </row>
    <row r="334" spans="3:9" x14ac:dyDescent="0.2">
      <c r="C334" s="25">
        <f t="shared" si="13"/>
        <v>44205</v>
      </c>
      <c r="D334" s="21">
        <v>28.4</v>
      </c>
      <c r="E334" s="21">
        <v>23.7</v>
      </c>
      <c r="F334" s="21">
        <v>29.3</v>
      </c>
      <c r="G334" s="21">
        <v>26.55</v>
      </c>
      <c r="H334" s="21">
        <v>26.75</v>
      </c>
      <c r="I334" s="22">
        <f t="shared" si="12"/>
        <v>27</v>
      </c>
    </row>
    <row r="335" spans="3:9" x14ac:dyDescent="0.2">
      <c r="C335" s="25">
        <f t="shared" si="13"/>
        <v>44206</v>
      </c>
      <c r="D335" s="21">
        <v>28.25</v>
      </c>
      <c r="E335" s="21">
        <v>22.05</v>
      </c>
      <c r="F335" s="21">
        <v>28.45</v>
      </c>
      <c r="G335" s="21">
        <v>25.95</v>
      </c>
      <c r="H335" s="21">
        <v>25.35</v>
      </c>
      <c r="I335" s="22">
        <f t="shared" si="12"/>
        <v>26</v>
      </c>
    </row>
    <row r="336" spans="3:9" x14ac:dyDescent="0.2">
      <c r="C336" s="25">
        <f t="shared" si="13"/>
        <v>44207</v>
      </c>
      <c r="D336" s="21">
        <v>26.75</v>
      </c>
      <c r="E336" s="21">
        <v>21.75</v>
      </c>
      <c r="F336" s="21">
        <v>26.3</v>
      </c>
      <c r="G336" s="21">
        <v>24.7</v>
      </c>
      <c r="H336" s="21">
        <v>24.9</v>
      </c>
      <c r="I336" s="22">
        <f t="shared" si="12"/>
        <v>25</v>
      </c>
    </row>
    <row r="337" spans="3:9" x14ac:dyDescent="0.2">
      <c r="C337" s="25">
        <f t="shared" si="13"/>
        <v>44208</v>
      </c>
      <c r="D337" s="21">
        <v>27.1</v>
      </c>
      <c r="E337" s="21">
        <v>21.9</v>
      </c>
      <c r="F337" s="21">
        <v>26.7</v>
      </c>
      <c r="G337" s="21">
        <v>24.6</v>
      </c>
      <c r="H337" s="21">
        <v>25.35</v>
      </c>
      <c r="I337" s="22">
        <f t="shared" si="12"/>
        <v>25</v>
      </c>
    </row>
    <row r="338" spans="3:9" x14ac:dyDescent="0.2">
      <c r="C338" s="25">
        <f t="shared" si="13"/>
        <v>44209</v>
      </c>
      <c r="D338" s="21">
        <v>31.25</v>
      </c>
      <c r="E338" s="21">
        <v>25.2</v>
      </c>
      <c r="F338" s="21">
        <v>30.35</v>
      </c>
      <c r="G338" s="21">
        <v>28.1</v>
      </c>
      <c r="H338" s="21">
        <v>29.05</v>
      </c>
      <c r="I338" s="22">
        <f t="shared" si="12"/>
        <v>29</v>
      </c>
    </row>
    <row r="339" spans="3:9" x14ac:dyDescent="0.2">
      <c r="C339" s="25">
        <f t="shared" si="13"/>
        <v>44210</v>
      </c>
      <c r="D339" s="21">
        <v>31</v>
      </c>
      <c r="E339" s="21">
        <v>25.05</v>
      </c>
      <c r="F339" s="21">
        <v>31.05</v>
      </c>
      <c r="G339" s="21">
        <v>28.95</v>
      </c>
      <c r="H339" s="21">
        <v>29.45</v>
      </c>
      <c r="I339" s="22">
        <f t="shared" si="12"/>
        <v>29</v>
      </c>
    </row>
    <row r="340" spans="3:9" x14ac:dyDescent="0.2">
      <c r="C340" s="25">
        <f t="shared" si="13"/>
        <v>44211</v>
      </c>
      <c r="D340" s="21">
        <v>32.6</v>
      </c>
      <c r="E340" s="21">
        <v>26.8</v>
      </c>
      <c r="F340" s="21">
        <v>32.1</v>
      </c>
      <c r="G340" s="21">
        <v>30.55</v>
      </c>
      <c r="H340" s="21">
        <v>30.85</v>
      </c>
      <c r="I340" s="22">
        <f t="shared" si="12"/>
        <v>30</v>
      </c>
    </row>
    <row r="341" spans="3:9" x14ac:dyDescent="0.2">
      <c r="C341" s="25">
        <f t="shared" si="13"/>
        <v>44212</v>
      </c>
      <c r="D341" s="21">
        <v>32.65</v>
      </c>
      <c r="E341" s="21">
        <v>27.9</v>
      </c>
      <c r="F341" s="21">
        <v>33.25</v>
      </c>
      <c r="G341" s="21">
        <v>31.4</v>
      </c>
      <c r="H341" s="21">
        <v>30.65</v>
      </c>
      <c r="I341" s="22">
        <f t="shared" si="12"/>
        <v>31</v>
      </c>
    </row>
    <row r="342" spans="3:9" x14ac:dyDescent="0.2">
      <c r="C342" s="25">
        <f t="shared" si="13"/>
        <v>44213</v>
      </c>
      <c r="D342" s="21">
        <v>31.85</v>
      </c>
      <c r="E342" s="21">
        <v>27.2</v>
      </c>
      <c r="F342" s="21">
        <v>32.5</v>
      </c>
      <c r="G342" s="21">
        <v>30.65</v>
      </c>
      <c r="H342" s="21">
        <v>30.35</v>
      </c>
      <c r="I342" s="22">
        <f t="shared" si="12"/>
        <v>30</v>
      </c>
    </row>
    <row r="343" spans="3:9" x14ac:dyDescent="0.2">
      <c r="C343" s="25">
        <f t="shared" si="13"/>
        <v>44214</v>
      </c>
      <c r="D343" s="21">
        <v>33.35</v>
      </c>
      <c r="E343" s="21">
        <v>28.6</v>
      </c>
      <c r="F343" s="21">
        <v>34.75</v>
      </c>
      <c r="G343" s="21">
        <v>32.15</v>
      </c>
      <c r="H343" s="21">
        <v>31.7</v>
      </c>
      <c r="I343" s="22">
        <f t="shared" si="12"/>
        <v>32</v>
      </c>
    </row>
    <row r="344" spans="3:9" x14ac:dyDescent="0.2">
      <c r="C344" s="25">
        <f t="shared" si="13"/>
        <v>44215</v>
      </c>
      <c r="D344" s="21">
        <v>32.5</v>
      </c>
      <c r="E344" s="21">
        <v>26.45</v>
      </c>
      <c r="F344" s="21">
        <v>32.200000000000003</v>
      </c>
      <c r="G344" s="21">
        <v>30.7</v>
      </c>
      <c r="H344" s="21">
        <v>29.2</v>
      </c>
      <c r="I344" s="22">
        <f t="shared" si="12"/>
        <v>30</v>
      </c>
    </row>
    <row r="345" spans="3:9" x14ac:dyDescent="0.2">
      <c r="C345" s="25">
        <f t="shared" si="13"/>
        <v>44216</v>
      </c>
      <c r="D345" s="21">
        <v>32.1</v>
      </c>
      <c r="E345" s="21">
        <v>24.7</v>
      </c>
      <c r="F345" s="21">
        <v>32.700000000000003</v>
      </c>
      <c r="G345" s="21">
        <v>30.7</v>
      </c>
      <c r="H345" s="21">
        <v>28.85</v>
      </c>
      <c r="I345" s="22">
        <f t="shared" si="12"/>
        <v>29</v>
      </c>
    </row>
    <row r="346" spans="3:9" x14ac:dyDescent="0.2">
      <c r="C346" s="25">
        <f t="shared" si="13"/>
        <v>44217</v>
      </c>
      <c r="D346" s="21">
        <v>32.25</v>
      </c>
      <c r="E346" s="21">
        <v>25.4</v>
      </c>
      <c r="F346" s="21">
        <v>33.450000000000003</v>
      </c>
      <c r="G346" s="21">
        <v>30.95</v>
      </c>
      <c r="H346" s="21">
        <v>29.35</v>
      </c>
      <c r="I346" s="22">
        <f t="shared" si="12"/>
        <v>30</v>
      </c>
    </row>
    <row r="347" spans="3:9" x14ac:dyDescent="0.2">
      <c r="C347" s="25">
        <f t="shared" si="13"/>
        <v>44218</v>
      </c>
      <c r="D347" s="21">
        <v>32.15</v>
      </c>
      <c r="E347" s="21">
        <v>26.15</v>
      </c>
      <c r="F347" s="21">
        <v>33.25</v>
      </c>
      <c r="G347" s="21">
        <v>31.2</v>
      </c>
      <c r="H347" s="21">
        <v>29.85</v>
      </c>
      <c r="I347" s="22">
        <f t="shared" si="12"/>
        <v>30</v>
      </c>
    </row>
    <row r="348" spans="3:9" x14ac:dyDescent="0.2">
      <c r="C348" s="25">
        <f t="shared" si="13"/>
        <v>44219</v>
      </c>
      <c r="D348" s="21">
        <v>31.75</v>
      </c>
      <c r="E348" s="21">
        <v>27.8</v>
      </c>
      <c r="F348" s="21">
        <v>32.85</v>
      </c>
      <c r="G348" s="21">
        <v>30.2</v>
      </c>
      <c r="H348" s="21">
        <v>30.3</v>
      </c>
      <c r="I348" s="22">
        <f t="shared" si="12"/>
        <v>30</v>
      </c>
    </row>
    <row r="349" spans="3:9" x14ac:dyDescent="0.2">
      <c r="C349" s="25">
        <f t="shared" si="13"/>
        <v>44220</v>
      </c>
      <c r="D349" s="21">
        <v>32.9</v>
      </c>
      <c r="E349" s="21">
        <v>27.2</v>
      </c>
      <c r="F349" s="21">
        <v>34.700000000000003</v>
      </c>
      <c r="G349" s="21">
        <v>31.8</v>
      </c>
      <c r="H349" s="21">
        <v>31.2</v>
      </c>
      <c r="I349" s="22">
        <f t="shared" si="12"/>
        <v>31</v>
      </c>
    </row>
    <row r="350" spans="3:9" x14ac:dyDescent="0.2">
      <c r="C350" s="25">
        <f t="shared" si="13"/>
        <v>44221</v>
      </c>
      <c r="D350" s="21">
        <v>32.049999999999997</v>
      </c>
      <c r="E350" s="21">
        <v>25.9</v>
      </c>
      <c r="F350" s="21">
        <v>33.200000000000003</v>
      </c>
      <c r="G350" s="21">
        <v>31.3</v>
      </c>
      <c r="H350" s="21">
        <v>30.1</v>
      </c>
      <c r="I350" s="22">
        <f t="shared" si="12"/>
        <v>30</v>
      </c>
    </row>
    <row r="351" spans="3:9" x14ac:dyDescent="0.2">
      <c r="C351" s="25">
        <f t="shared" si="13"/>
        <v>44222</v>
      </c>
      <c r="D351" s="21">
        <v>30.3</v>
      </c>
      <c r="E351" s="21">
        <v>24.1</v>
      </c>
      <c r="F351" s="21">
        <v>30.15</v>
      </c>
      <c r="G351" s="21">
        <v>28.8</v>
      </c>
      <c r="H351" s="21">
        <v>28.2</v>
      </c>
      <c r="I351" s="22">
        <f t="shared" si="12"/>
        <v>28</v>
      </c>
    </row>
    <row r="352" spans="3:9" x14ac:dyDescent="0.2">
      <c r="C352" s="25">
        <f t="shared" si="13"/>
        <v>44223</v>
      </c>
      <c r="D352" s="21">
        <v>32.549999999999997</v>
      </c>
      <c r="E352" s="21">
        <v>25.55</v>
      </c>
      <c r="F352" s="21">
        <v>32.25</v>
      </c>
      <c r="G352" s="21">
        <v>29.95</v>
      </c>
      <c r="H352" s="21">
        <v>29.65</v>
      </c>
      <c r="I352" s="22">
        <f t="shared" si="12"/>
        <v>30</v>
      </c>
    </row>
    <row r="353" spans="3:9" x14ac:dyDescent="0.2">
      <c r="C353" s="25">
        <f t="shared" si="13"/>
        <v>44224</v>
      </c>
      <c r="D353" s="21">
        <v>30.95</v>
      </c>
      <c r="E353" s="21">
        <v>25.85</v>
      </c>
      <c r="F353" s="21">
        <v>32.299999999999997</v>
      </c>
      <c r="G353" s="21">
        <v>29.55</v>
      </c>
      <c r="H353" s="21">
        <v>28.35</v>
      </c>
      <c r="I353" s="22">
        <f t="shared" si="12"/>
        <v>29</v>
      </c>
    </row>
    <row r="354" spans="3:9" x14ac:dyDescent="0.2">
      <c r="C354" s="25">
        <f t="shared" si="13"/>
        <v>44225</v>
      </c>
      <c r="D354" s="21">
        <v>29.25</v>
      </c>
      <c r="E354" s="21">
        <v>24.45</v>
      </c>
      <c r="F354" s="21">
        <v>30.4</v>
      </c>
      <c r="G354" s="21">
        <v>28.15</v>
      </c>
      <c r="H354" s="21">
        <v>27.1</v>
      </c>
      <c r="I354" s="22">
        <f t="shared" si="12"/>
        <v>27</v>
      </c>
    </row>
    <row r="355" spans="3:9" x14ac:dyDescent="0.2">
      <c r="C355" s="25">
        <f t="shared" si="13"/>
        <v>44226</v>
      </c>
      <c r="D355" s="21">
        <v>32.799999999999997</v>
      </c>
      <c r="E355" s="21">
        <v>26.15</v>
      </c>
      <c r="F355" s="21">
        <v>33.450000000000003</v>
      </c>
      <c r="G355" s="21">
        <v>30.95</v>
      </c>
      <c r="H355" s="21">
        <v>29.8</v>
      </c>
      <c r="I355" s="22">
        <f t="shared" ref="I355:I415" si="14">IFERROR(ROUND((D355*D$29)+(E355*E$29)+(F355*F$29)+(G355*G$29)+(H355*H$29),0),0)</f>
        <v>30</v>
      </c>
    </row>
    <row r="356" spans="3:9" x14ac:dyDescent="0.2">
      <c r="C356" s="25">
        <f t="shared" si="13"/>
        <v>44227</v>
      </c>
      <c r="D356" s="21">
        <v>30.2</v>
      </c>
      <c r="E356" s="21">
        <v>23.4</v>
      </c>
      <c r="F356" s="21">
        <v>31.5</v>
      </c>
      <c r="G356" s="21">
        <v>28.85</v>
      </c>
      <c r="H356" s="21">
        <v>26.85</v>
      </c>
      <c r="I356" s="22">
        <f t="shared" si="14"/>
        <v>28</v>
      </c>
    </row>
    <row r="357" spans="3:9" x14ac:dyDescent="0.2">
      <c r="C357" s="25">
        <f t="shared" ref="C357:C415" si="15">C356+1</f>
        <v>44228</v>
      </c>
      <c r="D357" s="21">
        <v>27.3</v>
      </c>
      <c r="E357" s="21">
        <v>21.3</v>
      </c>
      <c r="F357" s="21">
        <v>27.15</v>
      </c>
      <c r="G357" s="21">
        <v>25.2</v>
      </c>
      <c r="H357" s="21">
        <v>24.7</v>
      </c>
      <c r="I357" s="22">
        <f t="shared" si="14"/>
        <v>25</v>
      </c>
    </row>
    <row r="358" spans="3:9" x14ac:dyDescent="0.2">
      <c r="C358" s="25">
        <f t="shared" si="15"/>
        <v>44229</v>
      </c>
      <c r="D358" s="21">
        <v>29.25</v>
      </c>
      <c r="E358" s="21">
        <v>22.75</v>
      </c>
      <c r="F358" s="21">
        <v>28.6</v>
      </c>
      <c r="G358" s="21">
        <v>26.45</v>
      </c>
      <c r="H358" s="21">
        <v>26.9</v>
      </c>
      <c r="I358" s="22">
        <f t="shared" si="14"/>
        <v>27</v>
      </c>
    </row>
    <row r="359" spans="3:9" x14ac:dyDescent="0.2">
      <c r="C359" s="25">
        <f t="shared" si="15"/>
        <v>44230</v>
      </c>
      <c r="D359" s="21">
        <v>29.3</v>
      </c>
      <c r="E359" s="21">
        <v>24.4</v>
      </c>
      <c r="F359" s="21">
        <v>29.6</v>
      </c>
      <c r="G359" s="21">
        <v>26.55</v>
      </c>
      <c r="H359" s="21">
        <v>27.45</v>
      </c>
      <c r="I359" s="22">
        <f t="shared" si="14"/>
        <v>27</v>
      </c>
    </row>
    <row r="360" spans="3:9" x14ac:dyDescent="0.2">
      <c r="C360" s="25">
        <f t="shared" si="15"/>
        <v>44231</v>
      </c>
      <c r="D360" s="21">
        <v>30.3</v>
      </c>
      <c r="E360" s="21">
        <v>24.5</v>
      </c>
      <c r="F360" s="21">
        <v>31.1</v>
      </c>
      <c r="G360" s="21">
        <v>28.25</v>
      </c>
      <c r="H360" s="21">
        <v>27.6</v>
      </c>
      <c r="I360" s="22">
        <f t="shared" si="14"/>
        <v>28</v>
      </c>
    </row>
    <row r="361" spans="3:9" x14ac:dyDescent="0.2">
      <c r="C361" s="25">
        <f t="shared" si="15"/>
        <v>44232</v>
      </c>
      <c r="D361" s="21">
        <v>31.6</v>
      </c>
      <c r="E361" s="21">
        <v>23.9</v>
      </c>
      <c r="F361" s="21">
        <v>31.25</v>
      </c>
      <c r="G361" s="21">
        <v>29.4</v>
      </c>
      <c r="H361" s="21">
        <v>29.05</v>
      </c>
      <c r="I361" s="22">
        <f t="shared" si="14"/>
        <v>29</v>
      </c>
    </row>
    <row r="362" spans="3:9" x14ac:dyDescent="0.2">
      <c r="C362" s="25">
        <f t="shared" si="15"/>
        <v>44233</v>
      </c>
      <c r="D362" s="21">
        <v>29.25</v>
      </c>
      <c r="E362" s="21">
        <v>22.95</v>
      </c>
      <c r="F362" s="21">
        <v>29.05</v>
      </c>
      <c r="G362" s="21">
        <v>27.4</v>
      </c>
      <c r="H362" s="21">
        <v>26.65</v>
      </c>
      <c r="I362" s="22">
        <f t="shared" si="14"/>
        <v>27</v>
      </c>
    </row>
    <row r="363" spans="3:9" x14ac:dyDescent="0.2">
      <c r="C363" s="25">
        <f t="shared" si="15"/>
        <v>44234</v>
      </c>
      <c r="D363" s="21">
        <v>29.85</v>
      </c>
      <c r="E363" s="21">
        <v>24.15</v>
      </c>
      <c r="F363" s="21">
        <v>29.1</v>
      </c>
      <c r="G363" s="21">
        <v>27.55</v>
      </c>
      <c r="H363" s="21">
        <v>28.05</v>
      </c>
      <c r="I363" s="22">
        <f t="shared" si="14"/>
        <v>28</v>
      </c>
    </row>
    <row r="364" spans="3:9" x14ac:dyDescent="0.2">
      <c r="C364" s="25">
        <f t="shared" si="15"/>
        <v>44235</v>
      </c>
      <c r="D364" s="21">
        <v>32.1</v>
      </c>
      <c r="E364" s="21">
        <v>25.35</v>
      </c>
      <c r="F364" s="21">
        <v>31.6</v>
      </c>
      <c r="G364" s="21">
        <v>29.35</v>
      </c>
      <c r="H364" s="21">
        <v>29.75</v>
      </c>
      <c r="I364" s="22">
        <f t="shared" si="14"/>
        <v>30</v>
      </c>
    </row>
    <row r="365" spans="3:9" x14ac:dyDescent="0.2">
      <c r="C365" s="25">
        <f t="shared" si="15"/>
        <v>44236</v>
      </c>
      <c r="D365" s="21">
        <v>32.450000000000003</v>
      </c>
      <c r="E365" s="21">
        <v>26.2</v>
      </c>
      <c r="F365" s="21">
        <v>32.25</v>
      </c>
      <c r="G365" s="21">
        <v>30.3</v>
      </c>
      <c r="H365" s="21">
        <v>30.7</v>
      </c>
      <c r="I365" s="22">
        <f t="shared" si="14"/>
        <v>30</v>
      </c>
    </row>
    <row r="366" spans="3:9" x14ac:dyDescent="0.2">
      <c r="C366" s="25">
        <f t="shared" si="15"/>
        <v>44237</v>
      </c>
      <c r="D366" s="21">
        <v>31.7</v>
      </c>
      <c r="E366" s="21">
        <v>25.5</v>
      </c>
      <c r="F366" s="21">
        <v>32.700000000000003</v>
      </c>
      <c r="G366" s="21">
        <v>30.35</v>
      </c>
      <c r="H366" s="21">
        <v>30.25</v>
      </c>
      <c r="I366" s="22">
        <f t="shared" si="14"/>
        <v>30</v>
      </c>
    </row>
    <row r="367" spans="3:9" x14ac:dyDescent="0.2">
      <c r="C367" s="25">
        <f t="shared" si="15"/>
        <v>44238</v>
      </c>
      <c r="D367" s="21">
        <v>31.55</v>
      </c>
      <c r="E367" s="21">
        <v>25</v>
      </c>
      <c r="F367" s="21">
        <v>32.1</v>
      </c>
      <c r="G367" s="21">
        <v>29.45</v>
      </c>
      <c r="H367" s="21">
        <v>29.4</v>
      </c>
      <c r="I367" s="22">
        <f t="shared" si="14"/>
        <v>29</v>
      </c>
    </row>
    <row r="368" spans="3:9" x14ac:dyDescent="0.2">
      <c r="C368" s="25">
        <f t="shared" si="15"/>
        <v>44239</v>
      </c>
      <c r="D368" s="21">
        <v>31.15</v>
      </c>
      <c r="E368" s="21">
        <v>25.15</v>
      </c>
      <c r="F368" s="21">
        <v>31.35</v>
      </c>
      <c r="G368" s="21">
        <v>29.25</v>
      </c>
      <c r="H368" s="21">
        <v>30.05</v>
      </c>
      <c r="I368" s="22">
        <f t="shared" si="14"/>
        <v>29</v>
      </c>
    </row>
    <row r="369" spans="3:9" x14ac:dyDescent="0.2">
      <c r="C369" s="25">
        <f t="shared" si="15"/>
        <v>44240</v>
      </c>
      <c r="D369" s="21">
        <v>33.049999999999997</v>
      </c>
      <c r="E369" s="21">
        <v>27</v>
      </c>
      <c r="F369" s="21">
        <v>33.549999999999997</v>
      </c>
      <c r="G369" s="21">
        <v>31.3</v>
      </c>
      <c r="H369" s="21">
        <v>31.25</v>
      </c>
      <c r="I369" s="22">
        <f t="shared" si="14"/>
        <v>31</v>
      </c>
    </row>
    <row r="370" spans="3:9" x14ac:dyDescent="0.2">
      <c r="C370" s="25">
        <f t="shared" si="15"/>
        <v>44241</v>
      </c>
      <c r="D370" s="21">
        <v>30.1</v>
      </c>
      <c r="E370" s="21">
        <v>24.25</v>
      </c>
      <c r="F370" s="21">
        <v>29.95</v>
      </c>
      <c r="G370" s="21">
        <v>28.1</v>
      </c>
      <c r="H370" s="21">
        <v>27</v>
      </c>
      <c r="I370" s="22">
        <f t="shared" si="14"/>
        <v>28</v>
      </c>
    </row>
    <row r="371" spans="3:9" x14ac:dyDescent="0.2">
      <c r="C371" s="25">
        <f t="shared" si="15"/>
        <v>44242</v>
      </c>
      <c r="D371" s="21">
        <v>30</v>
      </c>
      <c r="E371" s="21">
        <v>24.1</v>
      </c>
      <c r="F371" s="21">
        <v>29.45</v>
      </c>
      <c r="G371" s="21">
        <v>27.7</v>
      </c>
      <c r="H371" s="21">
        <v>27.55</v>
      </c>
      <c r="I371" s="22">
        <f t="shared" si="14"/>
        <v>28</v>
      </c>
    </row>
    <row r="372" spans="3:9" x14ac:dyDescent="0.2">
      <c r="C372" s="25">
        <f t="shared" si="15"/>
        <v>44243</v>
      </c>
      <c r="D372" s="21">
        <v>30.6</v>
      </c>
      <c r="E372" s="21">
        <v>24.25</v>
      </c>
      <c r="F372" s="21">
        <v>30.25</v>
      </c>
      <c r="G372" s="21">
        <v>28.1</v>
      </c>
      <c r="H372" s="21">
        <v>28.65</v>
      </c>
      <c r="I372" s="22">
        <f t="shared" si="14"/>
        <v>28</v>
      </c>
    </row>
    <row r="373" spans="3:9" x14ac:dyDescent="0.2">
      <c r="C373" s="25">
        <f t="shared" si="15"/>
        <v>44244</v>
      </c>
      <c r="D373" s="21">
        <v>30.45</v>
      </c>
      <c r="E373" s="21">
        <v>23.75</v>
      </c>
      <c r="F373" s="21">
        <v>29.6</v>
      </c>
      <c r="G373" s="21">
        <v>28</v>
      </c>
      <c r="H373" s="21">
        <v>27.6</v>
      </c>
      <c r="I373" s="22">
        <f t="shared" si="14"/>
        <v>28</v>
      </c>
    </row>
    <row r="374" spans="3:9" x14ac:dyDescent="0.2">
      <c r="C374" s="25">
        <f t="shared" si="15"/>
        <v>44245</v>
      </c>
      <c r="D374" s="21">
        <v>29.05</v>
      </c>
      <c r="E374" s="21">
        <v>23.3</v>
      </c>
      <c r="F374" s="21">
        <v>28.95</v>
      </c>
      <c r="G374" s="21">
        <v>27</v>
      </c>
      <c r="H374" s="21">
        <v>26.2</v>
      </c>
      <c r="I374" s="22">
        <f t="shared" si="14"/>
        <v>27</v>
      </c>
    </row>
    <row r="375" spans="3:9" x14ac:dyDescent="0.2">
      <c r="C375" s="25">
        <f t="shared" si="15"/>
        <v>44246</v>
      </c>
      <c r="D375" s="21">
        <v>28.6</v>
      </c>
      <c r="E375" s="21">
        <v>22.75</v>
      </c>
      <c r="F375" s="21">
        <v>29.9</v>
      </c>
      <c r="G375" s="21">
        <v>27.15</v>
      </c>
      <c r="H375" s="21">
        <v>25.85</v>
      </c>
      <c r="I375" s="22">
        <f t="shared" si="14"/>
        <v>26</v>
      </c>
    </row>
    <row r="376" spans="3:9" x14ac:dyDescent="0.2">
      <c r="C376" s="25">
        <f t="shared" si="15"/>
        <v>44247</v>
      </c>
      <c r="D376" s="21">
        <v>24.15</v>
      </c>
      <c r="E376" s="21">
        <v>18.55</v>
      </c>
      <c r="F376" s="21">
        <v>25.55</v>
      </c>
      <c r="G376" s="21">
        <v>22.95</v>
      </c>
      <c r="H376" s="21">
        <v>21.6</v>
      </c>
      <c r="I376" s="22">
        <f t="shared" si="14"/>
        <v>22</v>
      </c>
    </row>
    <row r="377" spans="3:9" x14ac:dyDescent="0.2">
      <c r="C377" s="25">
        <f t="shared" si="15"/>
        <v>44248</v>
      </c>
      <c r="D377" s="21">
        <v>23.7</v>
      </c>
      <c r="E377" s="21">
        <v>16.100000000000001</v>
      </c>
      <c r="F377" s="21">
        <v>22.95</v>
      </c>
      <c r="G377" s="21">
        <v>22.15</v>
      </c>
      <c r="H377" s="21">
        <v>21.3</v>
      </c>
      <c r="I377" s="22">
        <f t="shared" si="14"/>
        <v>21</v>
      </c>
    </row>
    <row r="378" spans="3:9" x14ac:dyDescent="0.2">
      <c r="C378" s="25">
        <f t="shared" si="15"/>
        <v>44249</v>
      </c>
      <c r="D378" s="21">
        <v>25.4</v>
      </c>
      <c r="E378" s="21">
        <v>18.75</v>
      </c>
      <c r="F378" s="21">
        <v>24.1</v>
      </c>
      <c r="G378" s="21">
        <v>22.8</v>
      </c>
      <c r="H378" s="21">
        <v>23.55</v>
      </c>
      <c r="I378" s="22">
        <f t="shared" si="14"/>
        <v>23</v>
      </c>
    </row>
    <row r="379" spans="3:9" x14ac:dyDescent="0.2">
      <c r="C379" s="25">
        <f t="shared" si="15"/>
        <v>44250</v>
      </c>
      <c r="D379" s="21">
        <v>25.25</v>
      </c>
      <c r="E379" s="21">
        <v>18.649999999999999</v>
      </c>
      <c r="F379" s="21">
        <v>24.75</v>
      </c>
      <c r="G379" s="21">
        <v>23</v>
      </c>
      <c r="H379" s="21">
        <v>22.9</v>
      </c>
      <c r="I379" s="22">
        <f t="shared" si="14"/>
        <v>23</v>
      </c>
    </row>
    <row r="380" spans="3:9" x14ac:dyDescent="0.2">
      <c r="C380" s="25">
        <f t="shared" si="15"/>
        <v>44251</v>
      </c>
      <c r="D380" s="21">
        <v>24.8</v>
      </c>
      <c r="E380" s="21">
        <v>18.25</v>
      </c>
      <c r="F380" s="21">
        <v>24.9</v>
      </c>
      <c r="G380" s="21">
        <v>23.2</v>
      </c>
      <c r="H380" s="21">
        <v>22.85</v>
      </c>
      <c r="I380" s="22">
        <f t="shared" si="14"/>
        <v>23</v>
      </c>
    </row>
    <row r="381" spans="3:9" x14ac:dyDescent="0.2">
      <c r="C381" s="25">
        <f t="shared" si="15"/>
        <v>44252</v>
      </c>
      <c r="D381" s="21">
        <v>27</v>
      </c>
      <c r="E381" s="21">
        <v>20.8</v>
      </c>
      <c r="F381" s="21">
        <v>26.2</v>
      </c>
      <c r="G381" s="21">
        <v>24.75</v>
      </c>
      <c r="H381" s="21">
        <v>25.35</v>
      </c>
      <c r="I381" s="22">
        <f t="shared" si="14"/>
        <v>25</v>
      </c>
    </row>
    <row r="382" spans="3:9" x14ac:dyDescent="0.2">
      <c r="C382" s="25">
        <f t="shared" si="15"/>
        <v>44253</v>
      </c>
      <c r="D382" s="21">
        <v>28.4</v>
      </c>
      <c r="E382" s="21">
        <v>22.85</v>
      </c>
      <c r="F382" s="21">
        <v>28.2</v>
      </c>
      <c r="G382" s="21">
        <v>26.45</v>
      </c>
      <c r="H382" s="21">
        <v>26.4</v>
      </c>
      <c r="I382" s="22">
        <f t="shared" si="14"/>
        <v>26</v>
      </c>
    </row>
    <row r="383" spans="3:9" x14ac:dyDescent="0.2">
      <c r="C383" s="25">
        <f t="shared" si="15"/>
        <v>44254</v>
      </c>
      <c r="D383" s="21">
        <v>26.35</v>
      </c>
      <c r="E383" s="21">
        <v>21.25</v>
      </c>
      <c r="F383" s="21">
        <v>27.15</v>
      </c>
      <c r="G383" s="21">
        <v>24.6</v>
      </c>
      <c r="H383" s="21">
        <v>23.7</v>
      </c>
      <c r="I383" s="22">
        <f t="shared" si="14"/>
        <v>24</v>
      </c>
    </row>
    <row r="384" spans="3:9" x14ac:dyDescent="0.2">
      <c r="C384" s="25">
        <f t="shared" si="15"/>
        <v>44255</v>
      </c>
      <c r="D384" s="21">
        <v>23.35</v>
      </c>
      <c r="E384" s="21">
        <v>18.649999999999999</v>
      </c>
      <c r="F384" s="21">
        <v>24.85</v>
      </c>
      <c r="G384" s="21">
        <v>22.15</v>
      </c>
      <c r="H384" s="21">
        <v>20.6</v>
      </c>
      <c r="I384" s="22">
        <f t="shared" si="14"/>
        <v>21</v>
      </c>
    </row>
    <row r="385" spans="3:9" x14ac:dyDescent="0.2">
      <c r="C385" s="25">
        <f t="shared" si="15"/>
        <v>44256</v>
      </c>
      <c r="D385" s="21">
        <v>22.5</v>
      </c>
      <c r="E385" s="21">
        <v>17.350000000000001</v>
      </c>
      <c r="F385" s="21">
        <v>21.7</v>
      </c>
      <c r="G385" s="21">
        <v>19.95</v>
      </c>
      <c r="H385" s="21">
        <v>20.3</v>
      </c>
      <c r="I385" s="22">
        <f t="shared" si="14"/>
        <v>20</v>
      </c>
    </row>
    <row r="386" spans="3:9" x14ac:dyDescent="0.2">
      <c r="C386" s="25">
        <f t="shared" si="15"/>
        <v>44257</v>
      </c>
      <c r="D386" s="21">
        <v>24.6</v>
      </c>
      <c r="E386" s="21">
        <v>19.05</v>
      </c>
      <c r="F386" s="21">
        <v>24.75</v>
      </c>
      <c r="G386" s="21">
        <v>22.65</v>
      </c>
      <c r="H386" s="21">
        <v>22.45</v>
      </c>
      <c r="I386" s="22">
        <f t="shared" si="14"/>
        <v>22</v>
      </c>
    </row>
    <row r="387" spans="3:9" x14ac:dyDescent="0.2">
      <c r="C387" s="25">
        <f t="shared" si="15"/>
        <v>44258</v>
      </c>
      <c r="D387" s="21">
        <v>28.15</v>
      </c>
      <c r="E387" s="21">
        <v>22.3</v>
      </c>
      <c r="F387" s="21">
        <v>28.45</v>
      </c>
      <c r="G387" s="21">
        <v>25.9</v>
      </c>
      <c r="H387" s="21">
        <v>26.1</v>
      </c>
      <c r="I387" s="22">
        <f t="shared" si="14"/>
        <v>26</v>
      </c>
    </row>
    <row r="388" spans="3:9" x14ac:dyDescent="0.2">
      <c r="C388" s="25">
        <f t="shared" si="15"/>
        <v>44259</v>
      </c>
      <c r="D388" s="21">
        <v>25.65</v>
      </c>
      <c r="E388" s="21">
        <v>20.399999999999999</v>
      </c>
      <c r="F388" s="21">
        <v>27.75</v>
      </c>
      <c r="G388" s="21">
        <v>24.7</v>
      </c>
      <c r="H388" s="21">
        <v>23.65</v>
      </c>
      <c r="I388" s="22">
        <f t="shared" si="14"/>
        <v>24</v>
      </c>
    </row>
    <row r="389" spans="3:9" x14ac:dyDescent="0.2">
      <c r="C389" s="25">
        <f t="shared" si="15"/>
        <v>44260</v>
      </c>
      <c r="D389" s="21">
        <v>23.95</v>
      </c>
      <c r="E389" s="21">
        <v>19.55</v>
      </c>
      <c r="F389" s="21">
        <v>26.3</v>
      </c>
      <c r="G389" s="21">
        <v>23.2</v>
      </c>
      <c r="H389" s="21">
        <v>21.8</v>
      </c>
      <c r="I389" s="22">
        <f t="shared" si="14"/>
        <v>22</v>
      </c>
    </row>
    <row r="390" spans="3:9" x14ac:dyDescent="0.2">
      <c r="C390" s="25">
        <f t="shared" si="15"/>
        <v>44261</v>
      </c>
      <c r="D390" s="21">
        <v>24.1</v>
      </c>
      <c r="E390" s="21">
        <v>19.55</v>
      </c>
      <c r="F390" s="21">
        <v>25.95</v>
      </c>
      <c r="G390" s="21">
        <v>22.6</v>
      </c>
      <c r="H390" s="21">
        <v>22.2</v>
      </c>
      <c r="I390" s="22">
        <f t="shared" si="14"/>
        <v>23</v>
      </c>
    </row>
    <row r="391" spans="3:9" x14ac:dyDescent="0.2">
      <c r="C391" s="25">
        <f t="shared" si="15"/>
        <v>44262</v>
      </c>
      <c r="D391" s="21">
        <v>20.2</v>
      </c>
      <c r="E391" s="21">
        <v>17.05</v>
      </c>
      <c r="F391" s="21">
        <v>21.8</v>
      </c>
      <c r="G391" s="21">
        <v>18.75</v>
      </c>
      <c r="H391" s="21">
        <v>18.8</v>
      </c>
      <c r="I391" s="22">
        <f t="shared" si="14"/>
        <v>19</v>
      </c>
    </row>
    <row r="392" spans="3:9" x14ac:dyDescent="0.2">
      <c r="C392" s="25">
        <f t="shared" si="15"/>
        <v>44263</v>
      </c>
      <c r="D392" s="21">
        <v>18.899999999999999</v>
      </c>
      <c r="E392" s="21">
        <v>14.6</v>
      </c>
      <c r="F392" s="21">
        <v>19.850000000000001</v>
      </c>
      <c r="G392" s="21">
        <v>17.100000000000001</v>
      </c>
      <c r="H392" s="21">
        <v>16.8</v>
      </c>
      <c r="I392" s="22">
        <f t="shared" si="14"/>
        <v>17</v>
      </c>
    </row>
    <row r="393" spans="3:9" x14ac:dyDescent="0.2">
      <c r="C393" s="25">
        <f t="shared" si="15"/>
        <v>44264</v>
      </c>
      <c r="D393" s="21">
        <v>18.2</v>
      </c>
      <c r="E393" s="21">
        <v>12.9</v>
      </c>
      <c r="F393" s="21">
        <v>17.95</v>
      </c>
      <c r="G393" s="21">
        <v>16.25</v>
      </c>
      <c r="H393" s="21">
        <v>15.3</v>
      </c>
      <c r="I393" s="22">
        <f t="shared" si="14"/>
        <v>16</v>
      </c>
    </row>
    <row r="394" spans="3:9" x14ac:dyDescent="0.2">
      <c r="C394" s="25">
        <f t="shared" si="15"/>
        <v>44265</v>
      </c>
      <c r="D394" s="21">
        <v>17.05</v>
      </c>
      <c r="E394" s="21">
        <v>11.3</v>
      </c>
      <c r="F394" s="21">
        <v>17.399999999999999</v>
      </c>
      <c r="G394" s="21">
        <v>15.4</v>
      </c>
      <c r="H394" s="21">
        <v>15.3</v>
      </c>
      <c r="I394" s="22">
        <f t="shared" si="14"/>
        <v>15</v>
      </c>
    </row>
    <row r="395" spans="3:9" x14ac:dyDescent="0.2">
      <c r="C395" s="25">
        <f t="shared" si="15"/>
        <v>44266</v>
      </c>
      <c r="D395" s="21">
        <v>18.149999999999999</v>
      </c>
      <c r="E395" s="21">
        <v>12.8</v>
      </c>
      <c r="F395" s="21">
        <v>17.75</v>
      </c>
      <c r="G395" s="21">
        <v>15.65</v>
      </c>
      <c r="H395" s="21">
        <v>15.45</v>
      </c>
      <c r="I395" s="22">
        <f t="shared" si="14"/>
        <v>16</v>
      </c>
    </row>
    <row r="396" spans="3:9" x14ac:dyDescent="0.2">
      <c r="C396" s="25">
        <f t="shared" si="15"/>
        <v>44267</v>
      </c>
      <c r="D396" s="21">
        <v>16.75</v>
      </c>
      <c r="E396" s="21">
        <v>11.2</v>
      </c>
      <c r="F396" s="21">
        <v>17.8</v>
      </c>
      <c r="G396" s="21">
        <v>15.25</v>
      </c>
      <c r="H396" s="21">
        <v>14.15</v>
      </c>
      <c r="I396" s="22">
        <f t="shared" si="14"/>
        <v>15</v>
      </c>
    </row>
    <row r="397" spans="3:9" x14ac:dyDescent="0.2">
      <c r="C397" s="25">
        <f t="shared" si="15"/>
        <v>44268</v>
      </c>
      <c r="D397" s="21">
        <v>16.850000000000001</v>
      </c>
      <c r="E397" s="21">
        <v>12.4</v>
      </c>
      <c r="F397" s="21">
        <v>17.25</v>
      </c>
      <c r="G397" s="21">
        <v>15.35</v>
      </c>
      <c r="H397" s="21">
        <v>14.6</v>
      </c>
      <c r="I397" s="22">
        <f t="shared" si="14"/>
        <v>15</v>
      </c>
    </row>
    <row r="398" spans="3:9" x14ac:dyDescent="0.2">
      <c r="C398" s="25">
        <f t="shared" si="15"/>
        <v>44269</v>
      </c>
      <c r="D398" s="21">
        <v>17.649999999999999</v>
      </c>
      <c r="E398" s="21">
        <v>13.5</v>
      </c>
      <c r="F398" s="21">
        <v>19.100000000000001</v>
      </c>
      <c r="G398" s="21">
        <v>16.75</v>
      </c>
      <c r="H398" s="21">
        <v>16.149999999999999</v>
      </c>
      <c r="I398" s="22">
        <f t="shared" si="14"/>
        <v>16</v>
      </c>
    </row>
    <row r="399" spans="3:9" x14ac:dyDescent="0.2">
      <c r="C399" s="25">
        <f t="shared" si="15"/>
        <v>44270</v>
      </c>
      <c r="D399" s="21">
        <v>17.399999999999999</v>
      </c>
      <c r="E399" s="21">
        <v>11.7</v>
      </c>
      <c r="F399" s="21">
        <v>17.3</v>
      </c>
      <c r="G399" s="21">
        <v>15.5</v>
      </c>
      <c r="H399" s="21">
        <v>14.85</v>
      </c>
      <c r="I399" s="22">
        <f t="shared" si="14"/>
        <v>15</v>
      </c>
    </row>
    <row r="400" spans="3:9" x14ac:dyDescent="0.2">
      <c r="C400" s="25">
        <f t="shared" si="15"/>
        <v>44271</v>
      </c>
      <c r="D400" s="21">
        <v>16.95</v>
      </c>
      <c r="E400" s="21">
        <v>12.7</v>
      </c>
      <c r="F400" s="21">
        <v>18.149999999999999</v>
      </c>
      <c r="G400" s="21">
        <v>15</v>
      </c>
      <c r="H400" s="21">
        <v>15.35</v>
      </c>
      <c r="I400" s="22">
        <f t="shared" si="14"/>
        <v>15</v>
      </c>
    </row>
    <row r="401" spans="3:9" x14ac:dyDescent="0.2">
      <c r="C401" s="25">
        <f t="shared" si="15"/>
        <v>44272</v>
      </c>
      <c r="D401" s="21">
        <v>17.149999999999999</v>
      </c>
      <c r="E401" s="21">
        <v>12.2</v>
      </c>
      <c r="F401" s="21">
        <v>18.350000000000001</v>
      </c>
      <c r="G401" s="21">
        <v>15.4</v>
      </c>
      <c r="H401" s="21">
        <v>14.85</v>
      </c>
      <c r="I401" s="22">
        <f t="shared" si="14"/>
        <v>15</v>
      </c>
    </row>
    <row r="402" spans="3:9" x14ac:dyDescent="0.2">
      <c r="C402" s="25">
        <f t="shared" si="15"/>
        <v>44273</v>
      </c>
      <c r="D402" s="21">
        <v>16.649999999999999</v>
      </c>
      <c r="E402" s="21">
        <v>11.1</v>
      </c>
      <c r="F402" s="21">
        <v>16.25</v>
      </c>
      <c r="G402" s="21">
        <v>14.2</v>
      </c>
      <c r="H402" s="21">
        <v>13.75</v>
      </c>
      <c r="I402" s="22">
        <f t="shared" si="14"/>
        <v>14</v>
      </c>
    </row>
    <row r="403" spans="3:9" x14ac:dyDescent="0.2">
      <c r="C403" s="25">
        <f t="shared" si="15"/>
        <v>44274</v>
      </c>
      <c r="D403" s="21">
        <v>15.95</v>
      </c>
      <c r="E403" s="21">
        <v>10.9</v>
      </c>
      <c r="F403" s="21">
        <v>16.7</v>
      </c>
      <c r="G403" s="21">
        <v>14.8</v>
      </c>
      <c r="H403" s="21">
        <v>13.9</v>
      </c>
      <c r="I403" s="22">
        <f t="shared" si="14"/>
        <v>14</v>
      </c>
    </row>
    <row r="404" spans="3:9" x14ac:dyDescent="0.2">
      <c r="C404" s="25">
        <f t="shared" si="15"/>
        <v>44275</v>
      </c>
      <c r="D404" s="21">
        <v>15.85</v>
      </c>
      <c r="E404" s="21">
        <v>11.4</v>
      </c>
      <c r="F404" s="21">
        <v>16.7</v>
      </c>
      <c r="G404" s="21">
        <v>14</v>
      </c>
      <c r="H404" s="21">
        <v>13.95</v>
      </c>
      <c r="I404" s="22">
        <f t="shared" si="14"/>
        <v>14</v>
      </c>
    </row>
    <row r="405" spans="3:9" x14ac:dyDescent="0.2">
      <c r="C405" s="25">
        <f t="shared" si="15"/>
        <v>44276</v>
      </c>
      <c r="D405" s="21">
        <v>16.899999999999999</v>
      </c>
      <c r="E405" s="21">
        <v>13.9</v>
      </c>
      <c r="F405" s="21">
        <v>18.399999999999999</v>
      </c>
      <c r="G405" s="21">
        <v>15.9</v>
      </c>
      <c r="H405" s="21">
        <v>15.85</v>
      </c>
      <c r="I405" s="22">
        <f t="shared" si="14"/>
        <v>16</v>
      </c>
    </row>
    <row r="406" spans="3:9" x14ac:dyDescent="0.2">
      <c r="C406" s="25">
        <f t="shared" si="15"/>
        <v>44277</v>
      </c>
      <c r="D406" s="21">
        <v>18.649999999999999</v>
      </c>
      <c r="E406" s="21">
        <v>14.05</v>
      </c>
      <c r="F406" s="21">
        <v>20.100000000000001</v>
      </c>
      <c r="G406" s="21">
        <v>17.45</v>
      </c>
      <c r="H406" s="21">
        <v>15.9</v>
      </c>
      <c r="I406" s="22">
        <f t="shared" si="14"/>
        <v>17</v>
      </c>
    </row>
    <row r="407" spans="3:9" x14ac:dyDescent="0.2">
      <c r="C407" s="25">
        <f t="shared" si="15"/>
        <v>44278</v>
      </c>
      <c r="D407" s="21">
        <v>16.25</v>
      </c>
      <c r="E407" s="21">
        <v>11.75</v>
      </c>
      <c r="F407" s="21">
        <v>17.399999999999999</v>
      </c>
      <c r="G407" s="21">
        <v>14.5</v>
      </c>
      <c r="H407" s="21">
        <v>14</v>
      </c>
      <c r="I407" s="22">
        <f t="shared" si="14"/>
        <v>15</v>
      </c>
    </row>
    <row r="408" spans="3:9" x14ac:dyDescent="0.2">
      <c r="C408" s="25">
        <f t="shared" si="15"/>
        <v>44279</v>
      </c>
      <c r="D408" s="21">
        <v>15.9</v>
      </c>
      <c r="E408" s="21">
        <v>11.5</v>
      </c>
      <c r="F408" s="21">
        <v>16.3</v>
      </c>
      <c r="G408" s="21">
        <v>14.05</v>
      </c>
      <c r="H408" s="21">
        <v>13.2</v>
      </c>
      <c r="I408" s="22">
        <f t="shared" si="14"/>
        <v>14</v>
      </c>
    </row>
    <row r="409" spans="3:9" x14ac:dyDescent="0.2">
      <c r="C409" s="25">
        <f t="shared" si="15"/>
        <v>44280</v>
      </c>
      <c r="D409" s="21">
        <v>15.75</v>
      </c>
      <c r="E409" s="21">
        <v>12.3</v>
      </c>
      <c r="F409" s="21">
        <v>16</v>
      </c>
      <c r="G409" s="21">
        <v>14.2</v>
      </c>
      <c r="H409" s="21">
        <v>13.85</v>
      </c>
      <c r="I409" s="22">
        <f t="shared" si="14"/>
        <v>14</v>
      </c>
    </row>
    <row r="410" spans="3:9" x14ac:dyDescent="0.2">
      <c r="C410" s="25">
        <f t="shared" si="15"/>
        <v>44281</v>
      </c>
      <c r="D410" s="21">
        <v>16.75</v>
      </c>
      <c r="E410" s="21">
        <v>11.9</v>
      </c>
      <c r="F410" s="21">
        <v>17.350000000000001</v>
      </c>
      <c r="G410" s="21">
        <v>15.05</v>
      </c>
      <c r="H410" s="21">
        <v>15.65</v>
      </c>
      <c r="I410" s="22">
        <f t="shared" si="14"/>
        <v>15</v>
      </c>
    </row>
    <row r="411" spans="3:9" x14ac:dyDescent="0.2">
      <c r="C411" s="25">
        <f t="shared" si="15"/>
        <v>44282</v>
      </c>
      <c r="D411" s="21">
        <v>14.35</v>
      </c>
      <c r="E411" s="21">
        <v>10.85</v>
      </c>
      <c r="F411" s="21">
        <v>14.6</v>
      </c>
      <c r="G411" s="21">
        <v>13.25</v>
      </c>
      <c r="H411" s="21">
        <v>12.45</v>
      </c>
      <c r="I411" s="22">
        <f t="shared" si="14"/>
        <v>13</v>
      </c>
    </row>
    <row r="412" spans="3:9" x14ac:dyDescent="0.2">
      <c r="C412" s="25">
        <f t="shared" si="15"/>
        <v>44283</v>
      </c>
      <c r="D412" s="21">
        <v>13</v>
      </c>
      <c r="E412" s="21">
        <v>8.65</v>
      </c>
      <c r="F412" s="21">
        <v>12.55</v>
      </c>
      <c r="G412" s="21">
        <v>10.55</v>
      </c>
      <c r="H412" s="21">
        <v>10.65</v>
      </c>
      <c r="I412" s="22">
        <f t="shared" si="14"/>
        <v>11</v>
      </c>
    </row>
    <row r="413" spans="3:9" x14ac:dyDescent="0.2">
      <c r="C413" s="25">
        <f t="shared" si="15"/>
        <v>44284</v>
      </c>
      <c r="D413" s="21">
        <v>13.6</v>
      </c>
      <c r="E413" s="21">
        <v>10.3</v>
      </c>
      <c r="F413" s="21">
        <v>15.15</v>
      </c>
      <c r="G413" s="21">
        <v>12.45</v>
      </c>
      <c r="H413" s="21">
        <v>12.55</v>
      </c>
      <c r="I413" s="22">
        <f t="shared" si="14"/>
        <v>13</v>
      </c>
    </row>
    <row r="414" spans="3:9" x14ac:dyDescent="0.2">
      <c r="C414" s="25">
        <f t="shared" si="15"/>
        <v>44285</v>
      </c>
      <c r="D414" s="21">
        <v>12.7</v>
      </c>
      <c r="E414" s="21">
        <v>10.45</v>
      </c>
      <c r="F414" s="21">
        <v>13.15</v>
      </c>
      <c r="G414" s="21">
        <v>11.5</v>
      </c>
      <c r="H414" s="21">
        <v>11.75</v>
      </c>
      <c r="I414" s="22">
        <f t="shared" si="14"/>
        <v>12</v>
      </c>
    </row>
    <row r="415" spans="3:9" x14ac:dyDescent="0.2">
      <c r="C415" s="25">
        <f t="shared" si="15"/>
        <v>44286</v>
      </c>
      <c r="D415" s="21">
        <v>11.5</v>
      </c>
      <c r="E415" s="21">
        <v>9.8000000000000007</v>
      </c>
      <c r="F415" s="21">
        <v>13.5</v>
      </c>
      <c r="G415" s="21">
        <v>10.199999999999999</v>
      </c>
      <c r="H415" s="21">
        <v>9.4</v>
      </c>
      <c r="I415" s="22">
        <f t="shared" si="14"/>
        <v>11</v>
      </c>
    </row>
    <row r="416" spans="3:9" s="9" customFormat="1" x14ac:dyDescent="0.2">
      <c r="C416" s="23"/>
      <c r="D416" s="23"/>
      <c r="E416" s="23"/>
      <c r="F416" s="23"/>
      <c r="G416" s="23"/>
      <c r="H416" s="23"/>
      <c r="I416" s="23"/>
    </row>
    <row r="418" spans="4:9" x14ac:dyDescent="0.2">
      <c r="D418" s="6">
        <f>SUM(D51:D417)</f>
        <v>4295.1499999999996</v>
      </c>
      <c r="E418" s="6">
        <f t="shared" ref="E418:I418" si="16">SUM(E51:E417)</f>
        <v>3350.8500000000031</v>
      </c>
      <c r="F418" s="6">
        <f t="shared" si="16"/>
        <v>4400.949999999998</v>
      </c>
      <c r="G418" s="6">
        <f t="shared" si="16"/>
        <v>3898.1999999999994</v>
      </c>
      <c r="H418" s="6">
        <f t="shared" si="16"/>
        <v>3931.05</v>
      </c>
      <c r="I418" s="6">
        <f t="shared" si="16"/>
        <v>3943</v>
      </c>
    </row>
    <row r="419" spans="4:9" x14ac:dyDescent="0.2">
      <c r="D419" s="24"/>
      <c r="E419" s="24"/>
      <c r="F419" s="24"/>
      <c r="G419" s="24"/>
      <c r="H419" s="24"/>
    </row>
    <row r="420" spans="4:9" x14ac:dyDescent="0.2">
      <c r="D420" s="6"/>
      <c r="E420" s="6"/>
      <c r="F420" s="6"/>
      <c r="G420" s="6"/>
      <c r="H420" s="6"/>
      <c r="I420" s="6"/>
    </row>
    <row r="421" spans="4:9" x14ac:dyDescent="0.2">
      <c r="I421" s="22"/>
    </row>
    <row r="422" spans="4:9" x14ac:dyDescent="0.2">
      <c r="D422" s="24"/>
      <c r="E422" s="24"/>
      <c r="F422" s="24"/>
      <c r="G422" s="24"/>
      <c r="H422" s="24"/>
      <c r="I422" s="22"/>
    </row>
  </sheetData>
  <mergeCells count="3">
    <mergeCell ref="C3:I3"/>
    <mergeCell ref="D6:E6"/>
    <mergeCell ref="F6:G6"/>
  </mergeCells>
  <printOptions horizontalCentered="1"/>
  <pageMargins left="0.7" right="0.7" top="0.75" bottom="0.75" header="0.3" footer="0.3"/>
  <pageSetup scale="50" orientation="portrait" r:id="rId1"/>
  <headerFooter>
    <oddHeader>&amp;RCASE NO. 2021-00214
ATTACHMENT 3
TO STAFF DR NO. 3-09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BC NDDs - 10Yr Mar21</vt:lpstr>
      <vt:lpstr>BC NDDs - 20Yr Mar21</vt:lpstr>
      <vt:lpstr>'BC NDDs - 10Yr Mar21'!Print_Area</vt:lpstr>
      <vt:lpstr>'BC NDDs - 20Yr Mar21'!Print_Area</vt:lpstr>
      <vt:lpstr>'BC NDDs - 10Yr Mar21'!Print_Titles</vt:lpstr>
      <vt:lpstr>'BC NDDs - 20Yr Mar21'!Print_Titles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E Roach</dc:creator>
  <cp:lastModifiedBy>Eric J Wilen</cp:lastModifiedBy>
  <cp:lastPrinted>2021-09-14T14:38:11Z</cp:lastPrinted>
  <dcterms:created xsi:type="dcterms:W3CDTF">2021-09-10T19:33:12Z</dcterms:created>
  <dcterms:modified xsi:type="dcterms:W3CDTF">2021-09-14T14:38:16Z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