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iscovery\Kentucky\1 - Kentucky Rate Cases\2021-00214 (2021 Kentucky Rate Case)\Staff Set 3 Attachments\"/>
    </mc:Choice>
  </mc:AlternateContent>
  <xr:revisionPtr revIDLastSave="0" documentId="13_ncr:1_{54D694C7-D7B5-48FA-B761-86CAF9CBD8E0}" xr6:coauthVersionLast="47" xr6:coauthVersionMax="47" xr10:uidLastSave="{00000000-0000-0000-0000-000000000000}"/>
  <bookViews>
    <workbookView xWindow="-120" yWindow="-120" windowWidth="29040" windowHeight="15840" firstSheet="1" activeTab="1" xr2:uid="{B38BBCE2-3150-4601-9AAF-46092333DFD1}"/>
  </bookViews>
  <sheets>
    <sheet name="_com.sap.ip.bi.xl.hiddensheet" sheetId="2" state="veryHidden" r:id="rId1"/>
    <sheet name="WNA Calc" sheetId="4" r:id="rId2"/>
    <sheet name="SAP" sheetId="3" r:id="rId3"/>
  </sheets>
  <definedNames>
    <definedName name="_xlnm.Print_Area" localSheetId="1">'WNA Calc'!$B$7:$I$22</definedName>
    <definedName name="SAPCrosstab1" localSheetId="1">'WNA Calc'!$B$5:$J$8</definedName>
    <definedName name="SAPCrosstab1">#REF!</definedName>
    <definedName name="SAPCrosstab2" localSheetId="1">'WNA Calc'!$B$31:$E$243</definedName>
    <definedName name="SAPCrosstab2">#REF!</definedName>
    <definedName name="SAPCrosstab3">SAP!$A$5:$O$65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4" l="1"/>
  <c r="F11" i="4"/>
  <c r="G11" i="4"/>
  <c r="G16" i="4" s="1"/>
  <c r="G18" i="4" s="1"/>
  <c r="G20" i="4" s="1"/>
  <c r="H11" i="4"/>
  <c r="I11" i="4"/>
  <c r="E12" i="4"/>
  <c r="F12" i="4"/>
  <c r="F16" i="4" s="1"/>
  <c r="F18" i="4" s="1"/>
  <c r="F20" i="4" s="1"/>
  <c r="G12" i="4"/>
  <c r="H12" i="4"/>
  <c r="I12" i="4"/>
  <c r="D12" i="4"/>
  <c r="D16" i="4" s="1"/>
  <c r="D18" i="4" s="1"/>
  <c r="D20" i="4" s="1"/>
  <c r="D11" i="4"/>
  <c r="D14" i="4"/>
  <c r="E14" i="4"/>
  <c r="F14" i="4"/>
  <c r="G14" i="4"/>
  <c r="H14" i="4"/>
  <c r="D13" i="4"/>
  <c r="E13" i="4"/>
  <c r="F13" i="4"/>
  <c r="E19" i="4"/>
  <c r="F19" i="4"/>
  <c r="G19" i="4"/>
  <c r="H19" i="4"/>
  <c r="I19" i="4"/>
  <c r="D19" i="4"/>
  <c r="E17" i="4"/>
  <c r="E18" i="4" s="1"/>
  <c r="E20" i="4" s="1"/>
  <c r="F17" i="4"/>
  <c r="G17" i="4"/>
  <c r="H17" i="4"/>
  <c r="I17" i="4"/>
  <c r="D17" i="4"/>
  <c r="E15" i="4"/>
  <c r="F15" i="4"/>
  <c r="G15" i="4"/>
  <c r="H15" i="4"/>
  <c r="I15" i="4"/>
  <c r="G13" i="4"/>
  <c r="I14" i="4"/>
  <c r="E16" i="4"/>
  <c r="H13" i="4"/>
  <c r="I13" i="4"/>
  <c r="I16" i="4"/>
  <c r="I18" i="4"/>
  <c r="I20" i="4" s="1"/>
  <c r="H16" i="4"/>
  <c r="H18" i="4"/>
  <c r="H20" i="4"/>
</calcChain>
</file>

<file path=xl/sharedStrings.xml><?xml version="1.0" encoding="utf-8"?>
<sst xmlns="http://schemas.openxmlformats.org/spreadsheetml/2006/main" count="164" uniqueCount="68">
  <si>
    <t/>
  </si>
  <si>
    <t>WNA Amount</t>
  </si>
  <si>
    <t>Total Vol@MCF</t>
  </si>
  <si>
    <t>Company Code</t>
  </si>
  <si>
    <t>Kentucky / Mid States</t>
  </si>
  <si>
    <t>Overall Result</t>
  </si>
  <si>
    <t>Business Area</t>
  </si>
  <si>
    <t>Kentucky</t>
  </si>
  <si>
    <t>Period 02 2021</t>
  </si>
  <si>
    <t>Rate Category</t>
  </si>
  <si>
    <t>KY-RES - GEN SERVICE FIRM</t>
  </si>
  <si>
    <t>Base Charge Count</t>
  </si>
  <si>
    <t>Portion 10 - Standard</t>
  </si>
  <si>
    <t>Billing Portion</t>
  </si>
  <si>
    <t>Period 03 2021</t>
  </si>
  <si>
    <t>Period 04 2021</t>
  </si>
  <si>
    <t>Period 05 2021</t>
  </si>
  <si>
    <t>Period 06 2021</t>
  </si>
  <si>
    <t>Period 07 2021</t>
  </si>
  <si>
    <t>11/01/2020</t>
  </si>
  <si>
    <t>11/12/2020</t>
  </si>
  <si>
    <t>11/13/2020</t>
  </si>
  <si>
    <t>11/30/2020</t>
  </si>
  <si>
    <t>10/15/2020</t>
  </si>
  <si>
    <t>10/31/2020</t>
  </si>
  <si>
    <t>12/01/2020</t>
  </si>
  <si>
    <t>12/14/2020</t>
  </si>
  <si>
    <t>12/15/2020</t>
  </si>
  <si>
    <t>12/31/2020</t>
  </si>
  <si>
    <t>01/01/2021</t>
  </si>
  <si>
    <t>01/14/2021</t>
  </si>
  <si>
    <t>01/15/2021</t>
  </si>
  <si>
    <t>01/31/2021</t>
  </si>
  <si>
    <t>02/01/2021</t>
  </si>
  <si>
    <t>02/11/2021</t>
  </si>
  <si>
    <t>02/12/2021</t>
  </si>
  <si>
    <t>02/28/2021</t>
  </si>
  <si>
    <t>03/01/2021</t>
  </si>
  <si>
    <t>03/12/2021</t>
  </si>
  <si>
    <t>03/13/2021</t>
  </si>
  <si>
    <t>03/31/2021</t>
  </si>
  <si>
    <t>04/01/2021</t>
  </si>
  <si>
    <t>04/15/2021</t>
  </si>
  <si>
    <t>Nov</t>
  </si>
  <si>
    <t>Dec</t>
  </si>
  <si>
    <t>Jan</t>
  </si>
  <si>
    <t>Feb</t>
  </si>
  <si>
    <t>Mar</t>
  </si>
  <si>
    <t>Apr</t>
  </si>
  <si>
    <t>NDD</t>
  </si>
  <si>
    <t>ADD</t>
  </si>
  <si>
    <t>R</t>
  </si>
  <si>
    <t>WNA Factor</t>
  </si>
  <si>
    <t>WNA Adjustment</t>
  </si>
  <si>
    <t>HSF (Mcf)</t>
  </si>
  <si>
    <t>BL (Mcf)</t>
  </si>
  <si>
    <t>Contract Account</t>
  </si>
  <si>
    <t>3005159123</t>
  </si>
  <si>
    <t>From Date</t>
  </si>
  <si>
    <t>To Date|Fiscal year/period</t>
  </si>
  <si>
    <t>Billed Actual HDD</t>
  </si>
  <si>
    <t>Billed Normal HDD</t>
  </si>
  <si>
    <t>Actual Billed</t>
  </si>
  <si>
    <t>Difference</t>
  </si>
  <si>
    <t>Factors</t>
  </si>
  <si>
    <t>Line</t>
  </si>
  <si>
    <t>Usage [1]</t>
  </si>
  <si>
    <t>Note [1] - This is an actual cycle 10 customer for the months of November through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</si>
</sst>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  <numFmt numFmtId="165" formatCode="#,##0.00;\-#,##0.00;#,##0.00"/>
    <numFmt numFmtId="166" formatCode="&quot;$ &quot;#,##0.00;&quot;$ &quot;\-#,##0.00;&quot;$ &quot;#,##0.00"/>
    <numFmt numFmtId="167" formatCode="#,##0;\-#,##0;#,##0"/>
    <numFmt numFmtId="168" formatCode="#,##0.0;\-#,##0.0;#,##0.0"/>
    <numFmt numFmtId="169" formatCode="_(* #,##0.0_);_(* \(#,##0.0\);_(* &quot;-&quot;??_);_(@_)"/>
    <numFmt numFmtId="170" formatCode="0.00000"/>
    <numFmt numFmtId="171" formatCode="_(* #,##0.0000_);_(* \(#,##0.0000\);_(* &quot;-&quot;??_);_(@_)"/>
    <numFmt numFmtId="172" formatCode="#,##0&quot; HDD&quot;;\-#,##0&quot; HDD&quot;;#,##0&quot; HDD&quot;"/>
    <numFmt numFmtId="173" formatCode="#,##0.0000;\-#,##0.0000;#,##0.0000"/>
    <numFmt numFmtId="174" formatCode="_(&quot;$&quot;* #,##0.00000_);_(&quot;$&quot;* \(#,##0.00000\);_(&quot;$&quot;* &quot;-&quot;??_);_(@_)"/>
    <numFmt numFmtId="175" formatCode="0.0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2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2" borderId="1" applyNumberFormat="0" applyAlignment="0" applyProtection="0">
      <alignment horizontal="left" vertical="center" indent="1"/>
    </xf>
    <xf numFmtId="164" fontId="4" fillId="0" borderId="2" applyNumberFormat="0" applyProtection="0">
      <alignment horizontal="right" vertical="center"/>
    </xf>
    <xf numFmtId="164" fontId="3" fillId="0" borderId="3" applyNumberFormat="0" applyProtection="0">
      <alignment horizontal="right" vertical="center"/>
    </xf>
    <xf numFmtId="164" fontId="4" fillId="3" borderId="1" applyNumberFormat="0" applyAlignment="0" applyProtection="0">
      <alignment horizontal="left" vertical="center" indent="1"/>
    </xf>
    <xf numFmtId="0" fontId="5" fillId="4" borderId="3" applyNumberFormat="0" applyAlignment="0">
      <alignment horizontal="left" vertical="center" indent="1"/>
      <protection locked="0"/>
    </xf>
    <xf numFmtId="0" fontId="5" fillId="5" borderId="3" applyNumberFormat="0" applyAlignment="0" applyProtection="0">
      <alignment horizontal="left" vertical="center" indent="1"/>
    </xf>
    <xf numFmtId="164" fontId="4" fillId="6" borderId="2" applyNumberFormat="0" applyBorder="0">
      <alignment horizontal="right" vertical="center"/>
      <protection locked="0"/>
    </xf>
    <xf numFmtId="0" fontId="5" fillId="4" borderId="3" applyNumberFormat="0" applyAlignment="0">
      <alignment horizontal="left" vertical="center" indent="1"/>
      <protection locked="0"/>
    </xf>
    <xf numFmtId="164" fontId="3" fillId="5" borderId="3" applyNumberFormat="0" applyProtection="0">
      <alignment horizontal="right" vertical="center"/>
    </xf>
    <xf numFmtId="164" fontId="3" fillId="6" borderId="3" applyNumberFormat="0" applyBorder="0">
      <alignment horizontal="right" vertical="center"/>
      <protection locked="0"/>
    </xf>
    <xf numFmtId="164" fontId="6" fillId="7" borderId="4" applyNumberFormat="0" applyBorder="0" applyAlignment="0" applyProtection="0">
      <alignment horizontal="right" vertical="center" indent="1"/>
    </xf>
    <xf numFmtId="164" fontId="7" fillId="8" borderId="4" applyNumberFormat="0" applyBorder="0" applyAlignment="0" applyProtection="0">
      <alignment horizontal="right" vertical="center" indent="1"/>
    </xf>
    <xf numFmtId="164" fontId="7" fillId="9" borderId="4" applyNumberFormat="0" applyBorder="0" applyAlignment="0" applyProtection="0">
      <alignment horizontal="right" vertical="center" indent="1"/>
    </xf>
    <xf numFmtId="164" fontId="8" fillId="10" borderId="4" applyNumberFormat="0" applyBorder="0" applyAlignment="0" applyProtection="0">
      <alignment horizontal="right" vertical="center" indent="1"/>
    </xf>
    <xf numFmtId="164" fontId="8" fillId="11" borderId="4" applyNumberFormat="0" applyBorder="0" applyAlignment="0" applyProtection="0">
      <alignment horizontal="right" vertical="center" indent="1"/>
    </xf>
    <xf numFmtId="164" fontId="8" fillId="12" borderId="4" applyNumberFormat="0" applyBorder="0" applyAlignment="0" applyProtection="0">
      <alignment horizontal="right" vertical="center" indent="1"/>
    </xf>
    <xf numFmtId="164" fontId="9" fillId="13" borderId="4" applyNumberFormat="0" applyBorder="0" applyAlignment="0" applyProtection="0">
      <alignment horizontal="right" vertical="center" indent="1"/>
    </xf>
    <xf numFmtId="164" fontId="9" fillId="14" borderId="4" applyNumberFormat="0" applyBorder="0" applyAlignment="0" applyProtection="0">
      <alignment horizontal="right" vertical="center" indent="1"/>
    </xf>
    <xf numFmtId="164" fontId="9" fillId="15" borderId="4" applyNumberFormat="0" applyBorder="0" applyAlignment="0" applyProtection="0">
      <alignment horizontal="right" vertical="center" indent="1"/>
    </xf>
    <xf numFmtId="0" fontId="10" fillId="0" borderId="1" applyNumberFormat="0" applyFont="0" applyFill="0" applyAlignment="0" applyProtection="0"/>
    <xf numFmtId="164" fontId="11" fillId="3" borderId="0" applyNumberFormat="0" applyAlignment="0" applyProtection="0">
      <alignment horizontal="left" vertical="center" indent="1"/>
    </xf>
    <xf numFmtId="0" fontId="10" fillId="0" borderId="5" applyNumberFormat="0" applyFont="0" applyFill="0" applyAlignment="0" applyProtection="0"/>
    <xf numFmtId="164" fontId="4" fillId="0" borderId="2" applyNumberFormat="0" applyFill="0" applyBorder="0" applyAlignment="0" applyProtection="0">
      <alignment horizontal="right" vertical="center"/>
    </xf>
    <xf numFmtId="164" fontId="4" fillId="3" borderId="1" applyNumberFormat="0" applyAlignment="0" applyProtection="0">
      <alignment horizontal="left" vertical="center" indent="1"/>
    </xf>
    <xf numFmtId="0" fontId="3" fillId="2" borderId="3" applyNumberFormat="0" applyAlignment="0" applyProtection="0">
      <alignment horizontal="left" vertical="center" indent="1"/>
    </xf>
    <xf numFmtId="0" fontId="5" fillId="16" borderId="1" applyNumberFormat="0" applyAlignment="0" applyProtection="0">
      <alignment horizontal="left" vertical="center" indent="1"/>
    </xf>
    <xf numFmtId="0" fontId="5" fillId="17" borderId="1" applyNumberFormat="0" applyAlignment="0" applyProtection="0">
      <alignment horizontal="left" vertical="center" indent="1"/>
    </xf>
    <xf numFmtId="0" fontId="5" fillId="18" borderId="1" applyNumberFormat="0" applyAlignment="0" applyProtection="0">
      <alignment horizontal="left" vertical="center" indent="1"/>
    </xf>
    <xf numFmtId="0" fontId="5" fillId="6" borderId="1" applyNumberFormat="0" applyAlignment="0" applyProtection="0">
      <alignment horizontal="left" vertical="center" indent="1"/>
    </xf>
    <xf numFmtId="0" fontId="5" fillId="5" borderId="3" applyNumberFormat="0" applyAlignment="0" applyProtection="0">
      <alignment horizontal="left" vertical="center" indent="1"/>
    </xf>
    <xf numFmtId="0" fontId="12" fillId="0" borderId="6" applyNumberFormat="0" applyFill="0" applyBorder="0" applyAlignment="0" applyProtection="0"/>
    <xf numFmtId="0" fontId="13" fillId="0" borderId="6" applyNumberFormat="0" applyBorder="0" applyAlignment="0" applyProtection="0"/>
    <xf numFmtId="0" fontId="12" fillId="4" borderId="3" applyNumberFormat="0" applyAlignment="0">
      <alignment horizontal="left" vertical="center" indent="1"/>
      <protection locked="0"/>
    </xf>
    <xf numFmtId="0" fontId="12" fillId="4" borderId="3" applyNumberFormat="0" applyAlignment="0">
      <alignment horizontal="left" vertical="center" indent="1"/>
      <protection locked="0"/>
    </xf>
    <xf numFmtId="0" fontId="12" fillId="5" borderId="3" applyNumberFormat="0" applyAlignment="0" applyProtection="0">
      <alignment horizontal="left" vertical="center" indent="1"/>
    </xf>
    <xf numFmtId="164" fontId="14" fillId="5" borderId="3" applyNumberFormat="0" applyProtection="0">
      <alignment horizontal="right" vertical="center"/>
    </xf>
    <xf numFmtId="164" fontId="15" fillId="6" borderId="2" applyNumberFormat="0" applyBorder="0">
      <alignment horizontal="right" vertical="center"/>
      <protection locked="0"/>
    </xf>
    <xf numFmtId="164" fontId="14" fillId="6" borderId="3" applyNumberFormat="0" applyBorder="0">
      <alignment horizontal="right" vertical="center"/>
      <protection locked="0"/>
    </xf>
    <xf numFmtId="164" fontId="4" fillId="0" borderId="2" applyNumberFormat="0" applyFill="0" applyBorder="0" applyAlignment="0" applyProtection="0">
      <alignment horizontal="right" vertical="center"/>
    </xf>
  </cellStyleXfs>
  <cellXfs count="30">
    <xf numFmtId="0" fontId="0" fillId="0" borderId="0" xfId="0"/>
    <xf numFmtId="165" fontId="0" fillId="0" borderId="0" xfId="0" applyNumberFormat="1"/>
    <xf numFmtId="0" fontId="4" fillId="3" borderId="1" xfId="26" applyNumberFormat="1" applyAlignment="1"/>
    <xf numFmtId="165" fontId="4" fillId="0" borderId="2" xfId="4" applyNumberFormat="1">
      <alignment horizontal="right" vertical="center"/>
    </xf>
    <xf numFmtId="0" fontId="4" fillId="3" borderId="1" xfId="26" applyNumberFormat="1" applyBorder="1" applyAlignment="1"/>
    <xf numFmtId="0" fontId="3" fillId="2" borderId="1" xfId="3" quotePrefix="1" applyNumberFormat="1" applyBorder="1" applyAlignment="1"/>
    <xf numFmtId="0" fontId="4" fillId="3" borderId="1" xfId="26" quotePrefix="1" applyNumberFormat="1" applyBorder="1" applyAlignment="1"/>
    <xf numFmtId="0" fontId="4" fillId="3" borderId="1" xfId="26" quotePrefix="1" applyNumberFormat="1" applyAlignment="1"/>
    <xf numFmtId="166" fontId="4" fillId="0" borderId="2" xfId="4" applyNumberFormat="1">
      <alignment horizontal="right" vertical="center"/>
    </xf>
    <xf numFmtId="166" fontId="3" fillId="0" borderId="8" xfId="5" applyNumberFormat="1" applyBorder="1">
      <alignment horizontal="right" vertical="center"/>
    </xf>
    <xf numFmtId="0" fontId="3" fillId="2" borderId="9" xfId="27" quotePrefix="1" applyNumberFormat="1" applyBorder="1" applyAlignment="1"/>
    <xf numFmtId="167" fontId="4" fillId="0" borderId="2" xfId="4" applyNumberFormat="1">
      <alignment horizontal="right" vertical="center"/>
    </xf>
    <xf numFmtId="167" fontId="3" fillId="0" borderId="8" xfId="5" applyNumberFormat="1" applyBorder="1">
      <alignment horizontal="right" vertical="center"/>
    </xf>
    <xf numFmtId="168" fontId="4" fillId="0" borderId="2" xfId="4" applyNumberFormat="1">
      <alignment horizontal="right" vertical="center"/>
    </xf>
    <xf numFmtId="168" fontId="3" fillId="0" borderId="8" xfId="5" applyNumberFormat="1" applyBorder="1">
      <alignment horizontal="right" vertical="center"/>
    </xf>
    <xf numFmtId="165" fontId="4" fillId="0" borderId="10" xfId="4" applyNumberFormat="1" applyBorder="1">
      <alignment horizontal="right" vertical="center"/>
    </xf>
    <xf numFmtId="0" fontId="0" fillId="0" borderId="0" xfId="0" applyAlignment="1">
      <alignment horizontal="center"/>
    </xf>
    <xf numFmtId="169" fontId="0" fillId="0" borderId="0" xfId="0" applyNumberFormat="1"/>
    <xf numFmtId="44" fontId="0" fillId="0" borderId="0" xfId="2" applyFont="1"/>
    <xf numFmtId="44" fontId="0" fillId="0" borderId="0" xfId="0" applyNumberFormat="1"/>
    <xf numFmtId="170" fontId="0" fillId="0" borderId="0" xfId="0" applyNumberFormat="1"/>
    <xf numFmtId="171" fontId="0" fillId="0" borderId="0" xfId="1" applyNumberFormat="1" applyFont="1"/>
    <xf numFmtId="172" fontId="4" fillId="0" borderId="2" xfId="4" applyNumberFormat="1">
      <alignment horizontal="right" vertical="center"/>
    </xf>
    <xf numFmtId="172" fontId="4" fillId="0" borderId="10" xfId="4" applyNumberFormat="1" applyBorder="1">
      <alignment horizontal="right" vertical="center"/>
    </xf>
    <xf numFmtId="172" fontId="3" fillId="0" borderId="8" xfId="5" applyNumberFormat="1" applyBorder="1">
      <alignment horizontal="right" vertical="center"/>
    </xf>
    <xf numFmtId="172" fontId="3" fillId="0" borderId="7" xfId="5" applyNumberFormat="1" applyBorder="1">
      <alignment horizontal="right" vertical="center"/>
    </xf>
    <xf numFmtId="173" fontId="4" fillId="0" borderId="2" xfId="4" applyNumberFormat="1">
      <alignment horizontal="right" vertical="center"/>
    </xf>
    <xf numFmtId="174" fontId="0" fillId="0" borderId="0" xfId="2" applyNumberFormat="1" applyFont="1"/>
    <xf numFmtId="0" fontId="2" fillId="0" borderId="11" xfId="0" applyFont="1" applyBorder="1" applyAlignment="1">
      <alignment horizontal="center"/>
    </xf>
    <xf numFmtId="175" fontId="0" fillId="0" borderId="0" xfId="0" applyNumberFormat="1"/>
  </cellXfs>
  <cellStyles count="42">
    <cellStyle name="Comma" xfId="1" builtinId="3"/>
    <cellStyle name="Currency" xfId="2" builtinId="4"/>
    <cellStyle name="Normal" xfId="0" builtinId="0"/>
    <cellStyle name="SAPBorder" xfId="22" xr:uid="{78EA93A0-62DC-44A8-9623-184A0726DC83}"/>
    <cellStyle name="SAPDataCell" xfId="4" xr:uid="{60A85A4A-2052-4607-A8A5-36D19AA72DB1}"/>
    <cellStyle name="SAPDataRemoved" xfId="23" xr:uid="{BEE5AC96-5C5E-447D-A35A-DC236B1D2982}"/>
    <cellStyle name="SAPDataTotalCell" xfId="5" xr:uid="{D1F7CDF9-62AF-482C-AED1-80BBE5AF11ED}"/>
    <cellStyle name="SAPDimensionCell" xfId="3" xr:uid="{398F21D4-8273-4E2C-A144-9F3057A59EE0}"/>
    <cellStyle name="SAPEditableDataCell" xfId="7" xr:uid="{24CF2D61-AB3D-4EEC-AD44-50259CB49DB7}"/>
    <cellStyle name="SAPEditableDataTotalCell" xfId="10" xr:uid="{562F1EFE-F977-427C-9FB5-A3541054337D}"/>
    <cellStyle name="SAPEmphasized" xfId="33" xr:uid="{22F71FBF-E466-401B-8B76-E0B0CB4AE5E0}"/>
    <cellStyle name="SAPEmphasizedEditableDataCell" xfId="35" xr:uid="{8D717CE6-61B2-4795-B4B0-B4F0E83CBFFF}"/>
    <cellStyle name="SAPEmphasizedEditableDataTotalCell" xfId="36" xr:uid="{46AD4ADD-3B48-4170-8C0F-F0A95680DC6A}"/>
    <cellStyle name="SAPEmphasizedLockedDataCell" xfId="39" xr:uid="{9A3FF4C8-A627-45FE-9B59-5670526DB807}"/>
    <cellStyle name="SAPEmphasizedLockedDataTotalCell" xfId="40" xr:uid="{867524AB-6DB0-4026-9137-14A6FD0A4EFF}"/>
    <cellStyle name="SAPEmphasizedReadonlyDataCell" xfId="37" xr:uid="{A486FDE9-E730-4C05-B55A-54875192A459}"/>
    <cellStyle name="SAPEmphasizedReadonlyDataTotalCell" xfId="38" xr:uid="{83004613-1301-4D08-910F-0E7A20AB99DC}"/>
    <cellStyle name="SAPEmphasizedTotal" xfId="34" xr:uid="{577F6170-8437-4E2B-A291-F588C064B04A}"/>
    <cellStyle name="SAPError" xfId="24" xr:uid="{6B239F07-7AA6-42AB-ABF7-03CAC92397FD}"/>
    <cellStyle name="SAPExceptionLevel1" xfId="13" xr:uid="{27B87954-C2C1-4384-8809-AB05E6AB111E}"/>
    <cellStyle name="SAPExceptionLevel2" xfId="14" xr:uid="{41A1B6EA-6797-4DE8-95EF-35A1F42A7847}"/>
    <cellStyle name="SAPExceptionLevel3" xfId="15" xr:uid="{8B3A6273-8A5D-49B4-B033-F275BBC6299B}"/>
    <cellStyle name="SAPExceptionLevel4" xfId="16" xr:uid="{28277E5C-1CA2-4925-823E-451564EDA499}"/>
    <cellStyle name="SAPExceptionLevel5" xfId="17" xr:uid="{60883096-3B6C-4F58-879E-A23B85D68F19}"/>
    <cellStyle name="SAPExceptionLevel6" xfId="18" xr:uid="{9FE13AD2-AE84-488D-A827-0321BF844F87}"/>
    <cellStyle name="SAPExceptionLevel7" xfId="19" xr:uid="{C7E798B9-295B-4A75-ABF9-C8409AD0460A}"/>
    <cellStyle name="SAPExceptionLevel8" xfId="20" xr:uid="{9D4C3252-CAB4-49CC-8CF8-6179E5490FDE}"/>
    <cellStyle name="SAPExceptionLevel9" xfId="21" xr:uid="{32E64230-D2B3-434C-8CDF-4DC22C9E54D0}"/>
    <cellStyle name="SAPFormula" xfId="41" xr:uid="{BF06ACEB-10B5-4B02-B948-0E7AA6E30A8F}"/>
    <cellStyle name="SAPGroupingFillCell" xfId="6" xr:uid="{CEE49D94-1908-4CDA-9148-95DA71668346}"/>
    <cellStyle name="SAPHierarchyCell0" xfId="28" xr:uid="{19B21095-A7A5-463F-93B0-90745F6504AF}"/>
    <cellStyle name="SAPHierarchyCell1" xfId="29" xr:uid="{B0BAD85D-86B2-4E3C-972B-8FF97B1CC97E}"/>
    <cellStyle name="SAPHierarchyCell2" xfId="30" xr:uid="{8386095D-EC30-42A2-9C53-F3E1842B4FD9}"/>
    <cellStyle name="SAPHierarchyCell3" xfId="31" xr:uid="{D71376EA-132D-47E9-9D24-2CCDA9D2EFC4}"/>
    <cellStyle name="SAPHierarchyCell4" xfId="32" xr:uid="{DF520365-B81E-4212-B5C7-44DB1A105838}"/>
    <cellStyle name="SAPLockedDataCell" xfId="9" xr:uid="{5354CEA6-DAD2-4270-8E0A-4C88EFF44712}"/>
    <cellStyle name="SAPLockedDataTotalCell" xfId="12" xr:uid="{E458F4CE-D99E-4E32-9C44-298088AA1438}"/>
    <cellStyle name="SAPMemberCell" xfId="26" xr:uid="{D775ABE0-78C4-46AF-BE04-B28C46D49022}"/>
    <cellStyle name="SAPMemberTotalCell" xfId="27" xr:uid="{119098B5-7F14-4D98-942D-1CA657650BA1}"/>
    <cellStyle name="SAPMessageText" xfId="25" xr:uid="{1FFD3F2C-2CC2-41DA-BBAE-69F85A826C08}"/>
    <cellStyle name="SAPReadonlyDataCell" xfId="8" xr:uid="{35085D94-4B15-4FB1-95B9-14808443A99D}"/>
    <cellStyle name="SAPReadonlyDataTotalCell" xfId="11" xr:uid="{E0B068A6-4934-47FA-BE93-119C8DD97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DD20-2C72-4291-8F0D-41EAE9867172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E85C-B90E-4DAD-BF50-490A770389F5}">
  <sheetPr>
    <pageSetUpPr fitToPage="1"/>
  </sheetPr>
  <dimension ref="B10:J22"/>
  <sheetViews>
    <sheetView tabSelected="1" zoomScaleNormal="100" workbookViewId="0">
      <selection activeCell="E3" sqref="E3"/>
    </sheetView>
  </sheetViews>
  <sheetFormatPr defaultRowHeight="15" x14ac:dyDescent="0.25"/>
  <cols>
    <col min="2" max="2" width="4.7109375" bestFit="1" customWidth="1"/>
    <col min="3" max="4" width="18.7109375" bestFit="1" customWidth="1"/>
    <col min="5" max="5" width="19.5703125" bestFit="1" customWidth="1"/>
    <col min="6" max="9" width="13.42578125" bestFit="1" customWidth="1"/>
    <col min="10" max="10" width="14.140625" bestFit="1" customWidth="1"/>
    <col min="11" max="33" width="10.42578125" bestFit="1" customWidth="1"/>
    <col min="34" max="34" width="14.140625" bestFit="1" customWidth="1"/>
  </cols>
  <sheetData>
    <row r="10" spans="2:9" x14ac:dyDescent="0.25">
      <c r="B10" s="28" t="s">
        <v>65</v>
      </c>
      <c r="C10" s="28" t="s">
        <v>64</v>
      </c>
      <c r="D10" s="28" t="s">
        <v>43</v>
      </c>
      <c r="E10" s="28" t="s">
        <v>44</v>
      </c>
      <c r="F10" s="28" t="s">
        <v>45</v>
      </c>
      <c r="G10" s="28" t="s">
        <v>46</v>
      </c>
      <c r="H10" s="28" t="s">
        <v>47</v>
      </c>
      <c r="I10" s="28" t="s">
        <v>48</v>
      </c>
    </row>
    <row r="11" spans="2:9" x14ac:dyDescent="0.25">
      <c r="B11" s="16">
        <v>1</v>
      </c>
      <c r="C11" t="s">
        <v>50</v>
      </c>
      <c r="D11" s="1">
        <f>SUM(SAP!I42:I53)</f>
        <v>253</v>
      </c>
      <c r="E11" s="1">
        <f>SUM(SAP!J42:J53)</f>
        <v>603</v>
      </c>
      <c r="F11" s="1">
        <f>SUM(SAP!K42:K53)</f>
        <v>851</v>
      </c>
      <c r="G11" s="1">
        <f>SUM(SAP!L42:L53)</f>
        <v>787</v>
      </c>
      <c r="H11" s="1">
        <f>SUM(SAP!M42:M53)</f>
        <v>760</v>
      </c>
      <c r="I11" s="1">
        <f>SUM(SAP!N42:N53)</f>
        <v>297</v>
      </c>
    </row>
    <row r="12" spans="2:9" x14ac:dyDescent="0.25">
      <c r="B12" s="16">
        <v>2</v>
      </c>
      <c r="C12" t="s">
        <v>49</v>
      </c>
      <c r="D12" s="1">
        <f>SUM(SAP!I54:I65)</f>
        <v>290</v>
      </c>
      <c r="E12" s="1">
        <f>SUM(SAP!J54:J65)</f>
        <v>677</v>
      </c>
      <c r="F12" s="1">
        <f>SUM(SAP!K54:K65)</f>
        <v>857</v>
      </c>
      <c r="G12" s="1">
        <f>SUM(SAP!L54:L65)</f>
        <v>811</v>
      </c>
      <c r="H12" s="1">
        <f>SUM(SAP!M54:M65)</f>
        <v>668</v>
      </c>
      <c r="I12" s="1">
        <f>SUM(SAP!N54:N65)</f>
        <v>423</v>
      </c>
    </row>
    <row r="13" spans="2:9" x14ac:dyDescent="0.25">
      <c r="B13" s="16">
        <v>3</v>
      </c>
      <c r="C13" t="s">
        <v>54</v>
      </c>
      <c r="D13" s="29">
        <f>0.12576/10</f>
        <v>1.2576E-2</v>
      </c>
      <c r="E13" s="29">
        <f>D13</f>
        <v>1.2576E-2</v>
      </c>
      <c r="F13" s="29">
        <f t="shared" ref="F13:I14" si="0">E13</f>
        <v>1.2576E-2</v>
      </c>
      <c r="G13" s="29">
        <f t="shared" si="0"/>
        <v>1.2576E-2</v>
      </c>
      <c r="H13" s="29">
        <f t="shared" si="0"/>
        <v>1.2576E-2</v>
      </c>
      <c r="I13" s="29">
        <f t="shared" si="0"/>
        <v>1.2576E-2</v>
      </c>
    </row>
    <row r="14" spans="2:9" x14ac:dyDescent="0.25">
      <c r="B14" s="16">
        <v>4</v>
      </c>
      <c r="C14" t="s">
        <v>55</v>
      </c>
      <c r="D14" s="20">
        <f>10.556/10</f>
        <v>1.0555999999999999</v>
      </c>
      <c r="E14" s="20">
        <f>D14</f>
        <v>1.0555999999999999</v>
      </c>
      <c r="F14" s="20">
        <f t="shared" si="0"/>
        <v>1.0555999999999999</v>
      </c>
      <c r="G14" s="20">
        <f t="shared" si="0"/>
        <v>1.0555999999999999</v>
      </c>
      <c r="H14" s="20">
        <f t="shared" si="0"/>
        <v>1.0555999999999999</v>
      </c>
      <c r="I14" s="20">
        <f t="shared" si="0"/>
        <v>1.0555999999999999</v>
      </c>
    </row>
    <row r="15" spans="2:9" x14ac:dyDescent="0.25">
      <c r="B15" s="16">
        <v>5</v>
      </c>
      <c r="C15" t="s">
        <v>51</v>
      </c>
      <c r="D15" s="27">
        <v>1.3850000000000002</v>
      </c>
      <c r="E15" s="27">
        <f>D15</f>
        <v>1.3850000000000002</v>
      </c>
      <c r="F15" s="27">
        <f t="shared" ref="F15:I15" si="1">E15</f>
        <v>1.3850000000000002</v>
      </c>
      <c r="G15" s="27">
        <f t="shared" si="1"/>
        <v>1.3850000000000002</v>
      </c>
      <c r="H15" s="27">
        <f t="shared" si="1"/>
        <v>1.3850000000000002</v>
      </c>
      <c r="I15" s="27">
        <f t="shared" si="1"/>
        <v>1.3850000000000002</v>
      </c>
    </row>
    <row r="16" spans="2:9" x14ac:dyDescent="0.25">
      <c r="B16" s="16">
        <v>6</v>
      </c>
      <c r="C16" t="s">
        <v>52</v>
      </c>
      <c r="D16" s="21">
        <f t="shared" ref="D16:I16" si="2">(D13*(D12-D11))/(D14+(D13*D11))*D15</f>
        <v>0.15209044945305158</v>
      </c>
      <c r="E16" s="21">
        <f t="shared" si="2"/>
        <v>0.14919840054228956</v>
      </c>
      <c r="F16" s="21">
        <f t="shared" si="2"/>
        <v>8.8882931602030871E-3</v>
      </c>
      <c r="G16" s="21">
        <f t="shared" si="2"/>
        <v>3.8165762675715829E-2</v>
      </c>
      <c r="H16" s="21">
        <f t="shared" si="2"/>
        <v>-0.15098271612382888</v>
      </c>
      <c r="I16" s="21">
        <f t="shared" si="2"/>
        <v>0.45810645354138213</v>
      </c>
    </row>
    <row r="17" spans="2:10" x14ac:dyDescent="0.25">
      <c r="B17" s="16">
        <v>7</v>
      </c>
      <c r="C17" t="s">
        <v>66</v>
      </c>
      <c r="D17" s="17">
        <f>SUM(SAP!I18:I29)</f>
        <v>5.5</v>
      </c>
      <c r="E17" s="17">
        <f>SUM(SAP!J18:J29)</f>
        <v>13.1</v>
      </c>
      <c r="F17" s="17">
        <f>SUM(SAP!K18:K29)</f>
        <v>19.100000000000001</v>
      </c>
      <c r="G17" s="17">
        <f>SUM(SAP!L18:L29)</f>
        <v>18.200000000000003</v>
      </c>
      <c r="H17" s="17">
        <f>SUM(SAP!M18:M29)</f>
        <v>15.2</v>
      </c>
      <c r="I17" s="17">
        <f>SUM(SAP!N18:N29)</f>
        <v>6.4</v>
      </c>
      <c r="J17" s="17"/>
    </row>
    <row r="18" spans="2:10" x14ac:dyDescent="0.25">
      <c r="B18" s="16">
        <v>8</v>
      </c>
      <c r="C18" t="s">
        <v>53</v>
      </c>
      <c r="D18" s="18">
        <f>D17*D16</f>
        <v>0.8364974719917837</v>
      </c>
      <c r="E18" s="18">
        <f t="shared" ref="E18:I18" si="3">E17*E16</f>
        <v>1.9544990471039931</v>
      </c>
      <c r="F18" s="18">
        <f t="shared" si="3"/>
        <v>0.16976639935987897</v>
      </c>
      <c r="G18" s="18">
        <f t="shared" si="3"/>
        <v>0.69461688069802818</v>
      </c>
      <c r="H18" s="18">
        <f t="shared" si="3"/>
        <v>-2.2949372850821987</v>
      </c>
      <c r="I18" s="18">
        <f t="shared" si="3"/>
        <v>2.9318813026648458</v>
      </c>
    </row>
    <row r="19" spans="2:10" x14ac:dyDescent="0.25">
      <c r="B19" s="16">
        <v>9</v>
      </c>
      <c r="C19" t="s">
        <v>62</v>
      </c>
      <c r="D19" s="19">
        <f>SUM(SAP!I30:I41)</f>
        <v>0.84000000000000008</v>
      </c>
      <c r="E19" s="19">
        <f>SUM(SAP!J30:J41)</f>
        <v>1.95</v>
      </c>
      <c r="F19" s="19">
        <f>SUM(SAP!K30:K41)</f>
        <v>0.16999999999999998</v>
      </c>
      <c r="G19" s="19">
        <f>SUM(SAP!L30:L41)</f>
        <v>0.7</v>
      </c>
      <c r="H19" s="19">
        <f>SUM(SAP!M30:M41)</f>
        <v>-2.29</v>
      </c>
      <c r="I19" s="19">
        <f>SUM(SAP!N30:N41)</f>
        <v>2.93</v>
      </c>
    </row>
    <row r="20" spans="2:10" x14ac:dyDescent="0.25">
      <c r="B20" s="16">
        <v>10</v>
      </c>
      <c r="C20" t="s">
        <v>63</v>
      </c>
      <c r="D20" s="19">
        <f>D18-D19</f>
        <v>-3.5025280082163768E-3</v>
      </c>
      <c r="E20" s="19">
        <f t="shared" ref="E20:I20" si="4">E18-E19</f>
        <v>4.4990471039931812E-3</v>
      </c>
      <c r="F20" s="19">
        <f t="shared" si="4"/>
        <v>-2.3360064012101223E-4</v>
      </c>
      <c r="G20" s="19">
        <f t="shared" si="4"/>
        <v>-5.3831193019717727E-3</v>
      </c>
      <c r="H20" s="19">
        <f t="shared" si="4"/>
        <v>-4.9372850821987058E-3</v>
      </c>
      <c r="I20" s="19">
        <f t="shared" si="4"/>
        <v>1.8813026648456521E-3</v>
      </c>
    </row>
    <row r="21" spans="2:10" x14ac:dyDescent="0.25">
      <c r="D21" s="19"/>
    </row>
    <row r="22" spans="2:10" x14ac:dyDescent="0.25">
      <c r="C22" t="s">
        <v>67</v>
      </c>
    </row>
  </sheetData>
  <phoneticPr fontId="16" type="noConversion"/>
  <pageMargins left="0.7" right="0.7" top="0.75" bottom="0.75" header="0.3" footer="0.3"/>
  <pageSetup orientation="landscape" horizontalDpi="1200" verticalDpi="1200" r:id="rId1"/>
  <headerFooter>
    <oddHeader>&amp;R&amp;8CASE NO. 2021-00214
ATTACHMENT 1
TO STAFF DR NO. 3-09</oddHead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F61C-DC04-41F0-B87D-2B58137082E0}">
  <sheetPr>
    <pageSetUpPr fitToPage="1"/>
  </sheetPr>
  <dimension ref="A5:O65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4.28515625" bestFit="1" customWidth="1"/>
    <col min="3" max="3" width="25.5703125" bestFit="1" customWidth="1"/>
    <col min="4" max="4" width="18.85546875" bestFit="1" customWidth="1"/>
    <col min="5" max="5" width="17" bestFit="1" customWidth="1"/>
    <col min="6" max="6" width="17.28515625" bestFit="1" customWidth="1"/>
    <col min="7" max="7" width="10.7109375" bestFit="1" customWidth="1"/>
    <col min="8" max="8" width="27" bestFit="1" customWidth="1"/>
    <col min="9" max="14" width="13.42578125" bestFit="1" customWidth="1"/>
    <col min="15" max="15" width="14.140625" bestFit="1" customWidth="1"/>
    <col min="16" max="16" width="13.42578125" bestFit="1" customWidth="1"/>
    <col min="17" max="17" width="10.42578125" bestFit="1" customWidth="1"/>
    <col min="18" max="18" width="6.7109375" bestFit="1" customWidth="1"/>
    <col min="19" max="19" width="13.42578125" bestFit="1" customWidth="1"/>
    <col min="20" max="21" width="10.42578125" bestFit="1" customWidth="1"/>
    <col min="22" max="22" width="7.5703125" bestFit="1" customWidth="1"/>
    <col min="23" max="23" width="13.42578125" bestFit="1" customWidth="1"/>
    <col min="24" max="24" width="10.42578125" bestFit="1" customWidth="1"/>
    <col min="25" max="25" width="6.7109375" bestFit="1" customWidth="1"/>
    <col min="26" max="26" width="14.140625" bestFit="1" customWidth="1"/>
  </cols>
  <sheetData>
    <row r="5" spans="1:15" x14ac:dyDescent="0.25">
      <c r="A5" s="5" t="s">
        <v>3</v>
      </c>
      <c r="B5" s="5" t="s">
        <v>6</v>
      </c>
      <c r="C5" s="5" t="s">
        <v>9</v>
      </c>
      <c r="D5" s="5" t="s">
        <v>13</v>
      </c>
      <c r="E5" s="5" t="s">
        <v>56</v>
      </c>
      <c r="F5" s="5" t="s">
        <v>0</v>
      </c>
      <c r="G5" s="5" t="s">
        <v>58</v>
      </c>
      <c r="H5" s="5" t="s">
        <v>59</v>
      </c>
      <c r="I5" s="6" t="s">
        <v>8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18</v>
      </c>
      <c r="O5" s="10" t="s">
        <v>5</v>
      </c>
    </row>
    <row r="6" spans="1:15" x14ac:dyDescent="0.25">
      <c r="A6" s="6" t="s">
        <v>4</v>
      </c>
      <c r="B6" s="7" t="s">
        <v>7</v>
      </c>
      <c r="C6" s="7" t="s">
        <v>10</v>
      </c>
      <c r="D6" s="7" t="s">
        <v>12</v>
      </c>
      <c r="E6" s="7" t="s">
        <v>57</v>
      </c>
      <c r="F6" s="7" t="s">
        <v>11</v>
      </c>
      <c r="G6" s="7" t="s">
        <v>23</v>
      </c>
      <c r="H6" s="6" t="s">
        <v>24</v>
      </c>
      <c r="I6" s="11">
        <v>1</v>
      </c>
      <c r="J6" s="3"/>
      <c r="K6" s="3"/>
      <c r="L6" s="3"/>
      <c r="M6" s="3"/>
      <c r="N6" s="3"/>
      <c r="O6" s="12">
        <v>1</v>
      </c>
    </row>
    <row r="7" spans="1:15" x14ac:dyDescent="0.25">
      <c r="A7" s="4"/>
      <c r="B7" s="2"/>
      <c r="C7" s="2"/>
      <c r="D7" s="2"/>
      <c r="E7" s="2"/>
      <c r="F7" s="2"/>
      <c r="G7" s="7" t="s">
        <v>19</v>
      </c>
      <c r="H7" s="6" t="s">
        <v>20</v>
      </c>
      <c r="I7" s="11">
        <v>0</v>
      </c>
      <c r="J7" s="3"/>
      <c r="K7" s="3"/>
      <c r="L7" s="3"/>
      <c r="M7" s="3"/>
      <c r="N7" s="3"/>
      <c r="O7" s="12">
        <v>0</v>
      </c>
    </row>
    <row r="8" spans="1:15" x14ac:dyDescent="0.25">
      <c r="A8" s="4"/>
      <c r="B8" s="2"/>
      <c r="C8" s="2"/>
      <c r="D8" s="2"/>
      <c r="E8" s="2"/>
      <c r="F8" s="2"/>
      <c r="G8" s="7" t="s">
        <v>21</v>
      </c>
      <c r="H8" s="6" t="s">
        <v>22</v>
      </c>
      <c r="I8" s="3"/>
      <c r="J8" s="11">
        <v>1</v>
      </c>
      <c r="K8" s="3"/>
      <c r="L8" s="3"/>
      <c r="M8" s="3"/>
      <c r="N8" s="3"/>
      <c r="O8" s="12">
        <v>1</v>
      </c>
    </row>
    <row r="9" spans="1:15" x14ac:dyDescent="0.25">
      <c r="A9" s="4"/>
      <c r="B9" s="2"/>
      <c r="C9" s="2"/>
      <c r="D9" s="2"/>
      <c r="E9" s="2"/>
      <c r="F9" s="2"/>
      <c r="G9" s="7" t="s">
        <v>25</v>
      </c>
      <c r="H9" s="6" t="s">
        <v>26</v>
      </c>
      <c r="I9" s="3"/>
      <c r="J9" s="11">
        <v>0</v>
      </c>
      <c r="K9" s="3"/>
      <c r="L9" s="3"/>
      <c r="M9" s="3"/>
      <c r="N9" s="3"/>
      <c r="O9" s="12">
        <v>0</v>
      </c>
    </row>
    <row r="10" spans="1:15" x14ac:dyDescent="0.25">
      <c r="A10" s="4"/>
      <c r="B10" s="2"/>
      <c r="C10" s="2"/>
      <c r="D10" s="2"/>
      <c r="E10" s="2"/>
      <c r="F10" s="2"/>
      <c r="G10" s="7" t="s">
        <v>27</v>
      </c>
      <c r="H10" s="6" t="s">
        <v>28</v>
      </c>
      <c r="I10" s="3"/>
      <c r="J10" s="3"/>
      <c r="K10" s="11">
        <v>1</v>
      </c>
      <c r="L10" s="3"/>
      <c r="M10" s="3"/>
      <c r="N10" s="3"/>
      <c r="O10" s="12">
        <v>1</v>
      </c>
    </row>
    <row r="11" spans="1:15" x14ac:dyDescent="0.25">
      <c r="A11" s="4"/>
      <c r="B11" s="2"/>
      <c r="C11" s="2"/>
      <c r="D11" s="2"/>
      <c r="E11" s="2"/>
      <c r="F11" s="2"/>
      <c r="G11" s="7" t="s">
        <v>29</v>
      </c>
      <c r="H11" s="6" t="s">
        <v>30</v>
      </c>
      <c r="I11" s="3"/>
      <c r="J11" s="3"/>
      <c r="K11" s="11">
        <v>0</v>
      </c>
      <c r="L11" s="3"/>
      <c r="M11" s="3"/>
      <c r="N11" s="3"/>
      <c r="O11" s="12">
        <v>0</v>
      </c>
    </row>
    <row r="12" spans="1:15" x14ac:dyDescent="0.25">
      <c r="A12" s="4"/>
      <c r="B12" s="2"/>
      <c r="C12" s="2"/>
      <c r="D12" s="2"/>
      <c r="E12" s="2"/>
      <c r="F12" s="2"/>
      <c r="G12" s="7" t="s">
        <v>31</v>
      </c>
      <c r="H12" s="6" t="s">
        <v>32</v>
      </c>
      <c r="I12" s="3"/>
      <c r="J12" s="3"/>
      <c r="K12" s="3"/>
      <c r="L12" s="11">
        <v>1</v>
      </c>
      <c r="M12" s="3"/>
      <c r="N12" s="3"/>
      <c r="O12" s="12">
        <v>1</v>
      </c>
    </row>
    <row r="13" spans="1:15" x14ac:dyDescent="0.25">
      <c r="A13" s="4"/>
      <c r="B13" s="2"/>
      <c r="C13" s="2"/>
      <c r="D13" s="2"/>
      <c r="E13" s="2"/>
      <c r="F13" s="2"/>
      <c r="G13" s="7" t="s">
        <v>33</v>
      </c>
      <c r="H13" s="6" t="s">
        <v>34</v>
      </c>
      <c r="I13" s="3"/>
      <c r="J13" s="3"/>
      <c r="K13" s="3"/>
      <c r="L13" s="11">
        <v>0</v>
      </c>
      <c r="M13" s="3"/>
      <c r="N13" s="3"/>
      <c r="O13" s="12">
        <v>0</v>
      </c>
    </row>
    <row r="14" spans="1:15" x14ac:dyDescent="0.25">
      <c r="A14" s="4"/>
      <c r="B14" s="2"/>
      <c r="C14" s="2"/>
      <c r="D14" s="2"/>
      <c r="E14" s="2"/>
      <c r="F14" s="2"/>
      <c r="G14" s="7" t="s">
        <v>35</v>
      </c>
      <c r="H14" s="6" t="s">
        <v>36</v>
      </c>
      <c r="I14" s="3"/>
      <c r="J14" s="3"/>
      <c r="K14" s="3"/>
      <c r="L14" s="3"/>
      <c r="M14" s="11">
        <v>1</v>
      </c>
      <c r="N14" s="3"/>
      <c r="O14" s="12">
        <v>1</v>
      </c>
    </row>
    <row r="15" spans="1:15" x14ac:dyDescent="0.25">
      <c r="A15" s="4"/>
      <c r="B15" s="2"/>
      <c r="C15" s="2"/>
      <c r="D15" s="2"/>
      <c r="E15" s="2"/>
      <c r="F15" s="2"/>
      <c r="G15" s="7" t="s">
        <v>37</v>
      </c>
      <c r="H15" s="6" t="s">
        <v>38</v>
      </c>
      <c r="I15" s="3"/>
      <c r="J15" s="3"/>
      <c r="K15" s="3"/>
      <c r="L15" s="3"/>
      <c r="M15" s="11">
        <v>0</v>
      </c>
      <c r="N15" s="3"/>
      <c r="O15" s="12">
        <v>0</v>
      </c>
    </row>
    <row r="16" spans="1:15" x14ac:dyDescent="0.25">
      <c r="A16" s="4"/>
      <c r="B16" s="2"/>
      <c r="C16" s="2"/>
      <c r="D16" s="2"/>
      <c r="E16" s="2"/>
      <c r="F16" s="2"/>
      <c r="G16" s="7" t="s">
        <v>39</v>
      </c>
      <c r="H16" s="6" t="s">
        <v>40</v>
      </c>
      <c r="I16" s="3"/>
      <c r="J16" s="3"/>
      <c r="K16" s="3"/>
      <c r="L16" s="3"/>
      <c r="M16" s="3"/>
      <c r="N16" s="11">
        <v>1</v>
      </c>
      <c r="O16" s="12">
        <v>1</v>
      </c>
    </row>
    <row r="17" spans="1:15" x14ac:dyDescent="0.25">
      <c r="A17" s="4"/>
      <c r="B17" s="2"/>
      <c r="C17" s="2"/>
      <c r="D17" s="2"/>
      <c r="E17" s="2"/>
      <c r="F17" s="2"/>
      <c r="G17" s="7" t="s">
        <v>41</v>
      </c>
      <c r="H17" s="6" t="s">
        <v>42</v>
      </c>
      <c r="I17" s="3"/>
      <c r="J17" s="3"/>
      <c r="K17" s="3"/>
      <c r="L17" s="3"/>
      <c r="M17" s="3"/>
      <c r="N17" s="11">
        <v>0</v>
      </c>
      <c r="O17" s="12">
        <v>0</v>
      </c>
    </row>
    <row r="18" spans="1:15" x14ac:dyDescent="0.25">
      <c r="A18" s="4"/>
      <c r="B18" s="2"/>
      <c r="C18" s="2"/>
      <c r="D18" s="2"/>
      <c r="E18" s="2"/>
      <c r="F18" s="7" t="s">
        <v>2</v>
      </c>
      <c r="G18" s="7" t="s">
        <v>23</v>
      </c>
      <c r="H18" s="6" t="s">
        <v>24</v>
      </c>
      <c r="I18" s="26">
        <v>3.2517</v>
      </c>
      <c r="J18" s="13"/>
      <c r="K18" s="13"/>
      <c r="L18" s="13"/>
      <c r="M18" s="13"/>
      <c r="N18" s="13"/>
      <c r="O18" s="14">
        <v>3.2517</v>
      </c>
    </row>
    <row r="19" spans="1:15" x14ac:dyDescent="0.25">
      <c r="A19" s="4"/>
      <c r="B19" s="2"/>
      <c r="C19" s="2"/>
      <c r="D19" s="2"/>
      <c r="E19" s="2"/>
      <c r="F19" s="2"/>
      <c r="G19" s="7" t="s">
        <v>19</v>
      </c>
      <c r="H19" s="6" t="s">
        <v>20</v>
      </c>
      <c r="I19" s="26">
        <v>2.2483</v>
      </c>
      <c r="J19" s="13"/>
      <c r="K19" s="13"/>
      <c r="L19" s="13"/>
      <c r="M19" s="13"/>
      <c r="N19" s="13"/>
      <c r="O19" s="14">
        <v>2.2483</v>
      </c>
    </row>
    <row r="20" spans="1:15" x14ac:dyDescent="0.25">
      <c r="A20" s="4"/>
      <c r="B20" s="2"/>
      <c r="C20" s="2"/>
      <c r="D20" s="2"/>
      <c r="E20" s="2"/>
      <c r="F20" s="2"/>
      <c r="G20" s="7" t="s">
        <v>21</v>
      </c>
      <c r="H20" s="6" t="s">
        <v>22</v>
      </c>
      <c r="I20" s="13"/>
      <c r="J20" s="13">
        <v>6.3262</v>
      </c>
      <c r="K20" s="13"/>
      <c r="L20" s="13"/>
      <c r="M20" s="13"/>
      <c r="N20" s="13"/>
      <c r="O20" s="14">
        <v>6.3262</v>
      </c>
    </row>
    <row r="21" spans="1:15" x14ac:dyDescent="0.25">
      <c r="A21" s="4"/>
      <c r="B21" s="2"/>
      <c r="C21" s="2"/>
      <c r="D21" s="2"/>
      <c r="E21" s="2"/>
      <c r="F21" s="2"/>
      <c r="G21" s="7" t="s">
        <v>25</v>
      </c>
      <c r="H21" s="6" t="s">
        <v>26</v>
      </c>
      <c r="I21" s="13"/>
      <c r="J21" s="13">
        <v>6.7737999999999996</v>
      </c>
      <c r="K21" s="13"/>
      <c r="L21" s="13"/>
      <c r="M21" s="13"/>
      <c r="N21" s="13"/>
      <c r="O21" s="14">
        <v>6.7737999999999996</v>
      </c>
    </row>
    <row r="22" spans="1:15" x14ac:dyDescent="0.25">
      <c r="A22" s="4"/>
      <c r="B22" s="2"/>
      <c r="C22" s="2"/>
      <c r="D22" s="2"/>
      <c r="E22" s="2"/>
      <c r="F22" s="2"/>
      <c r="G22" s="7" t="s">
        <v>27</v>
      </c>
      <c r="H22" s="6" t="s">
        <v>28</v>
      </c>
      <c r="I22" s="13"/>
      <c r="J22" s="13"/>
      <c r="K22" s="13">
        <v>10.2546</v>
      </c>
      <c r="L22" s="13"/>
      <c r="M22" s="13"/>
      <c r="N22" s="13"/>
      <c r="O22" s="14">
        <v>10.2546</v>
      </c>
    </row>
    <row r="23" spans="1:15" x14ac:dyDescent="0.25">
      <c r="A23" s="4"/>
      <c r="B23" s="2"/>
      <c r="C23" s="2"/>
      <c r="D23" s="2"/>
      <c r="E23" s="2"/>
      <c r="F23" s="2"/>
      <c r="G23" s="7" t="s">
        <v>29</v>
      </c>
      <c r="H23" s="6" t="s">
        <v>30</v>
      </c>
      <c r="I23" s="13"/>
      <c r="J23" s="13"/>
      <c r="K23" s="13">
        <v>8.8453999999999997</v>
      </c>
      <c r="L23" s="13"/>
      <c r="M23" s="13"/>
      <c r="N23" s="13"/>
      <c r="O23" s="14">
        <v>8.8453999999999997</v>
      </c>
    </row>
    <row r="24" spans="1:15" x14ac:dyDescent="0.25">
      <c r="A24" s="4"/>
      <c r="B24" s="2"/>
      <c r="C24" s="2"/>
      <c r="D24" s="2"/>
      <c r="E24" s="2"/>
      <c r="F24" s="2"/>
      <c r="G24" s="7" t="s">
        <v>31</v>
      </c>
      <c r="H24" s="6" t="s">
        <v>32</v>
      </c>
      <c r="I24" s="13"/>
      <c r="J24" s="13"/>
      <c r="K24" s="13"/>
      <c r="L24" s="13">
        <v>10.349500000000001</v>
      </c>
      <c r="M24" s="13"/>
      <c r="N24" s="13"/>
      <c r="O24" s="14">
        <v>10.349500000000001</v>
      </c>
    </row>
    <row r="25" spans="1:15" x14ac:dyDescent="0.25">
      <c r="A25" s="4"/>
      <c r="B25" s="2"/>
      <c r="C25" s="2"/>
      <c r="D25" s="2"/>
      <c r="E25" s="2"/>
      <c r="F25" s="2"/>
      <c r="G25" s="7" t="s">
        <v>33</v>
      </c>
      <c r="H25" s="6" t="s">
        <v>34</v>
      </c>
      <c r="I25" s="13"/>
      <c r="J25" s="13"/>
      <c r="K25" s="13"/>
      <c r="L25" s="13">
        <v>7.8505000000000003</v>
      </c>
      <c r="M25" s="13"/>
      <c r="N25" s="13"/>
      <c r="O25" s="14">
        <v>7.8505000000000003</v>
      </c>
    </row>
    <row r="26" spans="1:15" x14ac:dyDescent="0.25">
      <c r="A26" s="4"/>
      <c r="B26" s="2"/>
      <c r="C26" s="2"/>
      <c r="D26" s="2"/>
      <c r="E26" s="2"/>
      <c r="F26" s="2"/>
      <c r="G26" s="7" t="s">
        <v>35</v>
      </c>
      <c r="H26" s="6" t="s">
        <v>36</v>
      </c>
      <c r="I26" s="13"/>
      <c r="J26" s="13"/>
      <c r="K26" s="13"/>
      <c r="L26" s="13"/>
      <c r="M26" s="13">
        <v>11.1625</v>
      </c>
      <c r="N26" s="13"/>
      <c r="O26" s="14">
        <v>11.1625</v>
      </c>
    </row>
    <row r="27" spans="1:15" x14ac:dyDescent="0.25">
      <c r="A27" s="4"/>
      <c r="B27" s="2"/>
      <c r="C27" s="2"/>
      <c r="D27" s="2"/>
      <c r="E27" s="2"/>
      <c r="F27" s="2"/>
      <c r="G27" s="7" t="s">
        <v>37</v>
      </c>
      <c r="H27" s="6" t="s">
        <v>38</v>
      </c>
      <c r="I27" s="13"/>
      <c r="J27" s="13"/>
      <c r="K27" s="13"/>
      <c r="L27" s="13"/>
      <c r="M27" s="13">
        <v>4.0374999999999996</v>
      </c>
      <c r="N27" s="13"/>
      <c r="O27" s="14">
        <v>4.0374999999999996</v>
      </c>
    </row>
    <row r="28" spans="1:15" x14ac:dyDescent="0.25">
      <c r="A28" s="4"/>
      <c r="B28" s="2"/>
      <c r="C28" s="2"/>
      <c r="D28" s="2"/>
      <c r="E28" s="2"/>
      <c r="F28" s="2"/>
      <c r="G28" s="7" t="s">
        <v>39</v>
      </c>
      <c r="H28" s="6" t="s">
        <v>40</v>
      </c>
      <c r="I28" s="13"/>
      <c r="J28" s="13"/>
      <c r="K28" s="13"/>
      <c r="L28" s="13"/>
      <c r="M28" s="13"/>
      <c r="N28" s="13">
        <v>4.0145</v>
      </c>
      <c r="O28" s="14">
        <v>4.0145</v>
      </c>
    </row>
    <row r="29" spans="1:15" x14ac:dyDescent="0.25">
      <c r="A29" s="4"/>
      <c r="B29" s="2"/>
      <c r="C29" s="2"/>
      <c r="D29" s="2"/>
      <c r="E29" s="2"/>
      <c r="F29" s="2"/>
      <c r="G29" s="7" t="s">
        <v>41</v>
      </c>
      <c r="H29" s="6" t="s">
        <v>42</v>
      </c>
      <c r="I29" s="13"/>
      <c r="J29" s="13"/>
      <c r="K29" s="13"/>
      <c r="L29" s="13"/>
      <c r="M29" s="13"/>
      <c r="N29" s="13">
        <v>2.3855</v>
      </c>
      <c r="O29" s="14">
        <v>2.3855</v>
      </c>
    </row>
    <row r="30" spans="1:15" x14ac:dyDescent="0.25">
      <c r="A30" s="4"/>
      <c r="B30" s="2"/>
      <c r="C30" s="2"/>
      <c r="D30" s="2"/>
      <c r="E30" s="2"/>
      <c r="F30" s="7" t="s">
        <v>1</v>
      </c>
      <c r="G30" s="7" t="s">
        <v>23</v>
      </c>
      <c r="H30" s="6" t="s">
        <v>24</v>
      </c>
      <c r="I30" s="8">
        <v>0.5</v>
      </c>
      <c r="J30" s="3"/>
      <c r="K30" s="3"/>
      <c r="L30" s="3"/>
      <c r="M30" s="3"/>
      <c r="N30" s="3"/>
      <c r="O30" s="9">
        <v>0.5</v>
      </c>
    </row>
    <row r="31" spans="1:15" x14ac:dyDescent="0.25">
      <c r="A31" s="4"/>
      <c r="B31" s="2"/>
      <c r="C31" s="2"/>
      <c r="D31" s="2"/>
      <c r="E31" s="2"/>
      <c r="F31" s="2"/>
      <c r="G31" s="7" t="s">
        <v>19</v>
      </c>
      <c r="H31" s="6" t="s">
        <v>20</v>
      </c>
      <c r="I31" s="8">
        <v>0.34</v>
      </c>
      <c r="J31" s="3"/>
      <c r="K31" s="3"/>
      <c r="L31" s="3"/>
      <c r="M31" s="3"/>
      <c r="N31" s="3"/>
      <c r="O31" s="9">
        <v>0.34</v>
      </c>
    </row>
    <row r="32" spans="1:15" x14ac:dyDescent="0.25">
      <c r="A32" s="4"/>
      <c r="B32" s="2"/>
      <c r="C32" s="2"/>
      <c r="D32" s="2"/>
      <c r="E32" s="2"/>
      <c r="F32" s="2"/>
      <c r="G32" s="7" t="s">
        <v>21</v>
      </c>
      <c r="H32" s="6" t="s">
        <v>22</v>
      </c>
      <c r="I32" s="3"/>
      <c r="J32" s="8">
        <v>0.94</v>
      </c>
      <c r="K32" s="3"/>
      <c r="L32" s="3"/>
      <c r="M32" s="3"/>
      <c r="N32" s="3"/>
      <c r="O32" s="9">
        <v>0.94</v>
      </c>
    </row>
    <row r="33" spans="1:15" x14ac:dyDescent="0.25">
      <c r="A33" s="4"/>
      <c r="B33" s="2"/>
      <c r="C33" s="2"/>
      <c r="D33" s="2"/>
      <c r="E33" s="2"/>
      <c r="F33" s="2"/>
      <c r="G33" s="7" t="s">
        <v>25</v>
      </c>
      <c r="H33" s="6" t="s">
        <v>26</v>
      </c>
      <c r="I33" s="3"/>
      <c r="J33" s="8">
        <v>1.01</v>
      </c>
      <c r="K33" s="3"/>
      <c r="L33" s="3"/>
      <c r="M33" s="3"/>
      <c r="N33" s="3"/>
      <c r="O33" s="9">
        <v>1.01</v>
      </c>
    </row>
    <row r="34" spans="1:15" x14ac:dyDescent="0.25">
      <c r="A34" s="4"/>
      <c r="B34" s="2"/>
      <c r="C34" s="2"/>
      <c r="D34" s="2"/>
      <c r="E34" s="2"/>
      <c r="F34" s="2"/>
      <c r="G34" s="7" t="s">
        <v>27</v>
      </c>
      <c r="H34" s="6" t="s">
        <v>28</v>
      </c>
      <c r="I34" s="3"/>
      <c r="J34" s="3"/>
      <c r="K34" s="8">
        <v>0.09</v>
      </c>
      <c r="L34" s="3"/>
      <c r="M34" s="3"/>
      <c r="N34" s="3"/>
      <c r="O34" s="9">
        <v>0.09</v>
      </c>
    </row>
    <row r="35" spans="1:15" x14ac:dyDescent="0.25">
      <c r="A35" s="4"/>
      <c r="B35" s="2"/>
      <c r="C35" s="2"/>
      <c r="D35" s="2"/>
      <c r="E35" s="2"/>
      <c r="F35" s="2"/>
      <c r="G35" s="7" t="s">
        <v>29</v>
      </c>
      <c r="H35" s="6" t="s">
        <v>30</v>
      </c>
      <c r="I35" s="3"/>
      <c r="J35" s="3"/>
      <c r="K35" s="8">
        <v>0.08</v>
      </c>
      <c r="L35" s="3"/>
      <c r="M35" s="3"/>
      <c r="N35" s="3"/>
      <c r="O35" s="9">
        <v>0.08</v>
      </c>
    </row>
    <row r="36" spans="1:15" x14ac:dyDescent="0.25">
      <c r="A36" s="4"/>
      <c r="B36" s="2"/>
      <c r="C36" s="2"/>
      <c r="D36" s="2"/>
      <c r="E36" s="2"/>
      <c r="F36" s="2"/>
      <c r="G36" s="7" t="s">
        <v>31</v>
      </c>
      <c r="H36" s="6" t="s">
        <v>32</v>
      </c>
      <c r="I36" s="3"/>
      <c r="J36" s="3"/>
      <c r="K36" s="3"/>
      <c r="L36" s="8">
        <v>0.4</v>
      </c>
      <c r="M36" s="3"/>
      <c r="N36" s="3"/>
      <c r="O36" s="9">
        <v>0.4</v>
      </c>
    </row>
    <row r="37" spans="1:15" x14ac:dyDescent="0.25">
      <c r="A37" s="4"/>
      <c r="B37" s="2"/>
      <c r="C37" s="2"/>
      <c r="D37" s="2"/>
      <c r="E37" s="2"/>
      <c r="F37" s="2"/>
      <c r="G37" s="7" t="s">
        <v>33</v>
      </c>
      <c r="H37" s="6" t="s">
        <v>34</v>
      </c>
      <c r="I37" s="3"/>
      <c r="J37" s="3"/>
      <c r="K37" s="3"/>
      <c r="L37" s="8">
        <v>0.3</v>
      </c>
      <c r="M37" s="3"/>
      <c r="N37" s="3"/>
      <c r="O37" s="9">
        <v>0.3</v>
      </c>
    </row>
    <row r="38" spans="1:15" x14ac:dyDescent="0.25">
      <c r="A38" s="4"/>
      <c r="B38" s="2"/>
      <c r="C38" s="2"/>
      <c r="D38" s="2"/>
      <c r="E38" s="2"/>
      <c r="F38" s="2"/>
      <c r="G38" s="7" t="s">
        <v>35</v>
      </c>
      <c r="H38" s="6" t="s">
        <v>36</v>
      </c>
      <c r="I38" s="3"/>
      <c r="J38" s="3"/>
      <c r="K38" s="3"/>
      <c r="L38" s="3"/>
      <c r="M38" s="8">
        <v>-1.68</v>
      </c>
      <c r="N38" s="3"/>
      <c r="O38" s="9">
        <v>-1.68</v>
      </c>
    </row>
    <row r="39" spans="1:15" x14ac:dyDescent="0.25">
      <c r="A39" s="4"/>
      <c r="B39" s="2"/>
      <c r="C39" s="2"/>
      <c r="D39" s="2"/>
      <c r="E39" s="2"/>
      <c r="F39" s="2"/>
      <c r="G39" s="7" t="s">
        <v>37</v>
      </c>
      <c r="H39" s="6" t="s">
        <v>38</v>
      </c>
      <c r="I39" s="3"/>
      <c r="J39" s="3"/>
      <c r="K39" s="3"/>
      <c r="L39" s="3"/>
      <c r="M39" s="8">
        <v>-0.61</v>
      </c>
      <c r="N39" s="3"/>
      <c r="O39" s="9">
        <v>-0.61</v>
      </c>
    </row>
    <row r="40" spans="1:15" x14ac:dyDescent="0.25">
      <c r="A40" s="4"/>
      <c r="B40" s="2"/>
      <c r="C40" s="2"/>
      <c r="D40" s="2"/>
      <c r="E40" s="2"/>
      <c r="F40" s="2"/>
      <c r="G40" s="7" t="s">
        <v>39</v>
      </c>
      <c r="H40" s="6" t="s">
        <v>40</v>
      </c>
      <c r="I40" s="3"/>
      <c r="J40" s="3"/>
      <c r="K40" s="3"/>
      <c r="L40" s="3"/>
      <c r="M40" s="3"/>
      <c r="N40" s="8">
        <v>1.84</v>
      </c>
      <c r="O40" s="9">
        <v>1.84</v>
      </c>
    </row>
    <row r="41" spans="1:15" x14ac:dyDescent="0.25">
      <c r="A41" s="4"/>
      <c r="B41" s="2"/>
      <c r="C41" s="2"/>
      <c r="D41" s="2"/>
      <c r="E41" s="2"/>
      <c r="F41" s="2"/>
      <c r="G41" s="7" t="s">
        <v>41</v>
      </c>
      <c r="H41" s="6" t="s">
        <v>42</v>
      </c>
      <c r="I41" s="3"/>
      <c r="J41" s="3"/>
      <c r="K41" s="3"/>
      <c r="L41" s="3"/>
      <c r="M41" s="3"/>
      <c r="N41" s="8">
        <v>1.0900000000000001</v>
      </c>
      <c r="O41" s="9">
        <v>1.0900000000000001</v>
      </c>
    </row>
    <row r="42" spans="1:15" x14ac:dyDescent="0.25">
      <c r="A42" s="4"/>
      <c r="B42" s="2"/>
      <c r="C42" s="2"/>
      <c r="D42" s="2"/>
      <c r="E42" s="2"/>
      <c r="F42" s="7" t="s">
        <v>60</v>
      </c>
      <c r="G42" s="7" t="s">
        <v>23</v>
      </c>
      <c r="H42" s="6" t="s">
        <v>24</v>
      </c>
      <c r="I42" s="22">
        <v>150</v>
      </c>
      <c r="J42" s="3"/>
      <c r="K42" s="3"/>
      <c r="L42" s="3"/>
      <c r="M42" s="3"/>
      <c r="N42" s="3"/>
      <c r="O42" s="24">
        <v>150</v>
      </c>
    </row>
    <row r="43" spans="1:15" x14ac:dyDescent="0.25">
      <c r="A43" s="4"/>
      <c r="B43" s="2"/>
      <c r="C43" s="2"/>
      <c r="D43" s="2"/>
      <c r="E43" s="2"/>
      <c r="F43" s="2"/>
      <c r="G43" s="7" t="s">
        <v>19</v>
      </c>
      <c r="H43" s="6" t="s">
        <v>20</v>
      </c>
      <c r="I43" s="22">
        <v>103</v>
      </c>
      <c r="J43" s="3"/>
      <c r="K43" s="3"/>
      <c r="L43" s="3"/>
      <c r="M43" s="3"/>
      <c r="N43" s="3"/>
      <c r="O43" s="24">
        <v>103</v>
      </c>
    </row>
    <row r="44" spans="1:15" x14ac:dyDescent="0.25">
      <c r="A44" s="4"/>
      <c r="B44" s="2"/>
      <c r="C44" s="2"/>
      <c r="D44" s="2"/>
      <c r="E44" s="2"/>
      <c r="F44" s="2"/>
      <c r="G44" s="7" t="s">
        <v>21</v>
      </c>
      <c r="H44" s="6" t="s">
        <v>22</v>
      </c>
      <c r="I44" s="3"/>
      <c r="J44" s="22">
        <v>291</v>
      </c>
      <c r="K44" s="3"/>
      <c r="L44" s="3"/>
      <c r="M44" s="3"/>
      <c r="N44" s="3"/>
      <c r="O44" s="24">
        <v>291</v>
      </c>
    </row>
    <row r="45" spans="1:15" x14ac:dyDescent="0.25">
      <c r="A45" s="4"/>
      <c r="B45" s="2"/>
      <c r="C45" s="2"/>
      <c r="D45" s="2"/>
      <c r="E45" s="2"/>
      <c r="F45" s="2"/>
      <c r="G45" s="7" t="s">
        <v>25</v>
      </c>
      <c r="H45" s="6" t="s">
        <v>26</v>
      </c>
      <c r="I45" s="3"/>
      <c r="J45" s="22">
        <v>312</v>
      </c>
      <c r="K45" s="3"/>
      <c r="L45" s="3"/>
      <c r="M45" s="3"/>
      <c r="N45" s="3"/>
      <c r="O45" s="24">
        <v>312</v>
      </c>
    </row>
    <row r="46" spans="1:15" x14ac:dyDescent="0.25">
      <c r="A46" s="4"/>
      <c r="B46" s="2"/>
      <c r="C46" s="2"/>
      <c r="D46" s="2"/>
      <c r="E46" s="2"/>
      <c r="F46" s="2"/>
      <c r="G46" s="7" t="s">
        <v>27</v>
      </c>
      <c r="H46" s="6" t="s">
        <v>28</v>
      </c>
      <c r="I46" s="3"/>
      <c r="J46" s="3"/>
      <c r="K46" s="22">
        <v>457</v>
      </c>
      <c r="L46" s="3"/>
      <c r="M46" s="3"/>
      <c r="N46" s="3"/>
      <c r="O46" s="24">
        <v>457</v>
      </c>
    </row>
    <row r="47" spans="1:15" x14ac:dyDescent="0.25">
      <c r="A47" s="4"/>
      <c r="B47" s="2"/>
      <c r="C47" s="2"/>
      <c r="D47" s="2"/>
      <c r="E47" s="2"/>
      <c r="F47" s="2"/>
      <c r="G47" s="7" t="s">
        <v>29</v>
      </c>
      <c r="H47" s="6" t="s">
        <v>30</v>
      </c>
      <c r="I47" s="3"/>
      <c r="J47" s="3"/>
      <c r="K47" s="22">
        <v>394</v>
      </c>
      <c r="L47" s="3"/>
      <c r="M47" s="3"/>
      <c r="N47" s="3"/>
      <c r="O47" s="24">
        <v>394</v>
      </c>
    </row>
    <row r="48" spans="1:15" x14ac:dyDescent="0.25">
      <c r="A48" s="4"/>
      <c r="B48" s="2"/>
      <c r="C48" s="2"/>
      <c r="D48" s="2"/>
      <c r="E48" s="2"/>
      <c r="F48" s="2"/>
      <c r="G48" s="7" t="s">
        <v>31</v>
      </c>
      <c r="H48" s="6" t="s">
        <v>32</v>
      </c>
      <c r="I48" s="3"/>
      <c r="J48" s="3"/>
      <c r="K48" s="3"/>
      <c r="L48" s="22">
        <v>448</v>
      </c>
      <c r="M48" s="3"/>
      <c r="N48" s="3"/>
      <c r="O48" s="24">
        <v>448</v>
      </c>
    </row>
    <row r="49" spans="1:15" x14ac:dyDescent="0.25">
      <c r="A49" s="4"/>
      <c r="B49" s="2"/>
      <c r="C49" s="2"/>
      <c r="D49" s="2"/>
      <c r="E49" s="2"/>
      <c r="F49" s="2"/>
      <c r="G49" s="7" t="s">
        <v>33</v>
      </c>
      <c r="H49" s="6" t="s">
        <v>34</v>
      </c>
      <c r="I49" s="3"/>
      <c r="J49" s="3"/>
      <c r="K49" s="3"/>
      <c r="L49" s="22">
        <v>339</v>
      </c>
      <c r="M49" s="3"/>
      <c r="N49" s="3"/>
      <c r="O49" s="24">
        <v>339</v>
      </c>
    </row>
    <row r="50" spans="1:15" x14ac:dyDescent="0.25">
      <c r="A50" s="4"/>
      <c r="B50" s="2"/>
      <c r="C50" s="2"/>
      <c r="D50" s="2"/>
      <c r="E50" s="2"/>
      <c r="F50" s="2"/>
      <c r="G50" s="7" t="s">
        <v>35</v>
      </c>
      <c r="H50" s="6" t="s">
        <v>36</v>
      </c>
      <c r="I50" s="3"/>
      <c r="J50" s="3"/>
      <c r="K50" s="3"/>
      <c r="L50" s="3"/>
      <c r="M50" s="22">
        <v>558</v>
      </c>
      <c r="N50" s="3"/>
      <c r="O50" s="24">
        <v>558</v>
      </c>
    </row>
    <row r="51" spans="1:15" x14ac:dyDescent="0.25">
      <c r="A51" s="4"/>
      <c r="B51" s="2"/>
      <c r="C51" s="2"/>
      <c r="D51" s="2"/>
      <c r="E51" s="2"/>
      <c r="F51" s="2"/>
      <c r="G51" s="7" t="s">
        <v>37</v>
      </c>
      <c r="H51" s="6" t="s">
        <v>38</v>
      </c>
      <c r="I51" s="3"/>
      <c r="J51" s="3"/>
      <c r="K51" s="3"/>
      <c r="L51" s="3"/>
      <c r="M51" s="22">
        <v>202</v>
      </c>
      <c r="N51" s="3"/>
      <c r="O51" s="24">
        <v>202</v>
      </c>
    </row>
    <row r="52" spans="1:15" x14ac:dyDescent="0.25">
      <c r="A52" s="4"/>
      <c r="B52" s="2"/>
      <c r="C52" s="2"/>
      <c r="D52" s="2"/>
      <c r="E52" s="2"/>
      <c r="F52" s="2"/>
      <c r="G52" s="7" t="s">
        <v>39</v>
      </c>
      <c r="H52" s="6" t="s">
        <v>40</v>
      </c>
      <c r="I52" s="3"/>
      <c r="J52" s="3"/>
      <c r="K52" s="3"/>
      <c r="L52" s="3"/>
      <c r="M52" s="3"/>
      <c r="N52" s="22">
        <v>186</v>
      </c>
      <c r="O52" s="24">
        <v>186</v>
      </c>
    </row>
    <row r="53" spans="1:15" x14ac:dyDescent="0.25">
      <c r="A53" s="4"/>
      <c r="B53" s="2"/>
      <c r="C53" s="2"/>
      <c r="D53" s="2"/>
      <c r="E53" s="2"/>
      <c r="F53" s="2"/>
      <c r="G53" s="7" t="s">
        <v>41</v>
      </c>
      <c r="H53" s="6" t="s">
        <v>42</v>
      </c>
      <c r="I53" s="3"/>
      <c r="J53" s="3"/>
      <c r="K53" s="3"/>
      <c r="L53" s="3"/>
      <c r="M53" s="3"/>
      <c r="N53" s="22">
        <v>111</v>
      </c>
      <c r="O53" s="24">
        <v>111</v>
      </c>
    </row>
    <row r="54" spans="1:15" x14ac:dyDescent="0.25">
      <c r="A54" s="4"/>
      <c r="B54" s="2"/>
      <c r="C54" s="2"/>
      <c r="D54" s="2"/>
      <c r="E54" s="2"/>
      <c r="F54" s="7" t="s">
        <v>61</v>
      </c>
      <c r="G54" s="7" t="s">
        <v>23</v>
      </c>
      <c r="H54" s="6" t="s">
        <v>24</v>
      </c>
      <c r="I54" s="22">
        <v>171</v>
      </c>
      <c r="J54" s="3"/>
      <c r="K54" s="3"/>
      <c r="L54" s="3"/>
      <c r="M54" s="3"/>
      <c r="N54" s="3"/>
      <c r="O54" s="24">
        <v>171</v>
      </c>
    </row>
    <row r="55" spans="1:15" x14ac:dyDescent="0.25">
      <c r="A55" s="4"/>
      <c r="B55" s="2"/>
      <c r="C55" s="2"/>
      <c r="D55" s="2"/>
      <c r="E55" s="2"/>
      <c r="F55" s="2"/>
      <c r="G55" s="7" t="s">
        <v>19</v>
      </c>
      <c r="H55" s="6" t="s">
        <v>20</v>
      </c>
      <c r="I55" s="22">
        <v>119</v>
      </c>
      <c r="J55" s="3"/>
      <c r="K55" s="3"/>
      <c r="L55" s="3"/>
      <c r="M55" s="3"/>
      <c r="N55" s="3"/>
      <c r="O55" s="24">
        <v>119</v>
      </c>
    </row>
    <row r="56" spans="1:15" x14ac:dyDescent="0.25">
      <c r="A56" s="4"/>
      <c r="B56" s="2"/>
      <c r="C56" s="2"/>
      <c r="D56" s="2"/>
      <c r="E56" s="2"/>
      <c r="F56" s="2"/>
      <c r="G56" s="7" t="s">
        <v>21</v>
      </c>
      <c r="H56" s="6" t="s">
        <v>22</v>
      </c>
      <c r="I56" s="3"/>
      <c r="J56" s="22">
        <v>327</v>
      </c>
      <c r="K56" s="3"/>
      <c r="L56" s="3"/>
      <c r="M56" s="3"/>
      <c r="N56" s="3"/>
      <c r="O56" s="24">
        <v>327</v>
      </c>
    </row>
    <row r="57" spans="1:15" x14ac:dyDescent="0.25">
      <c r="A57" s="4"/>
      <c r="B57" s="2"/>
      <c r="C57" s="2"/>
      <c r="D57" s="2"/>
      <c r="E57" s="2"/>
      <c r="F57" s="2"/>
      <c r="G57" s="7" t="s">
        <v>25</v>
      </c>
      <c r="H57" s="6" t="s">
        <v>26</v>
      </c>
      <c r="I57" s="3"/>
      <c r="J57" s="22">
        <v>350</v>
      </c>
      <c r="K57" s="3"/>
      <c r="L57" s="3"/>
      <c r="M57" s="3"/>
      <c r="N57" s="3"/>
      <c r="O57" s="24">
        <v>350</v>
      </c>
    </row>
    <row r="58" spans="1:15" x14ac:dyDescent="0.25">
      <c r="A58" s="4"/>
      <c r="B58" s="2"/>
      <c r="C58" s="2"/>
      <c r="D58" s="2"/>
      <c r="E58" s="2"/>
      <c r="F58" s="2"/>
      <c r="G58" s="7" t="s">
        <v>27</v>
      </c>
      <c r="H58" s="6" t="s">
        <v>28</v>
      </c>
      <c r="I58" s="3"/>
      <c r="J58" s="3"/>
      <c r="K58" s="22">
        <v>460</v>
      </c>
      <c r="L58" s="3"/>
      <c r="M58" s="3"/>
      <c r="N58" s="3"/>
      <c r="O58" s="24">
        <v>460</v>
      </c>
    </row>
    <row r="59" spans="1:15" x14ac:dyDescent="0.25">
      <c r="A59" s="4"/>
      <c r="B59" s="2"/>
      <c r="C59" s="2"/>
      <c r="D59" s="2"/>
      <c r="E59" s="2"/>
      <c r="F59" s="2"/>
      <c r="G59" s="7" t="s">
        <v>29</v>
      </c>
      <c r="H59" s="6" t="s">
        <v>30</v>
      </c>
      <c r="I59" s="3"/>
      <c r="J59" s="3"/>
      <c r="K59" s="22">
        <v>397</v>
      </c>
      <c r="L59" s="3"/>
      <c r="M59" s="3"/>
      <c r="N59" s="3"/>
      <c r="O59" s="24">
        <v>397</v>
      </c>
    </row>
    <row r="60" spans="1:15" x14ac:dyDescent="0.25">
      <c r="A60" s="4"/>
      <c r="B60" s="2"/>
      <c r="C60" s="2"/>
      <c r="D60" s="2"/>
      <c r="E60" s="2"/>
      <c r="F60" s="2"/>
      <c r="G60" s="7" t="s">
        <v>31</v>
      </c>
      <c r="H60" s="6" t="s">
        <v>32</v>
      </c>
      <c r="I60" s="3"/>
      <c r="J60" s="3"/>
      <c r="K60" s="3"/>
      <c r="L60" s="22">
        <v>461</v>
      </c>
      <c r="M60" s="3"/>
      <c r="N60" s="3"/>
      <c r="O60" s="24">
        <v>461</v>
      </c>
    </row>
    <row r="61" spans="1:15" x14ac:dyDescent="0.25">
      <c r="A61" s="4"/>
      <c r="B61" s="2"/>
      <c r="C61" s="2"/>
      <c r="D61" s="2"/>
      <c r="E61" s="2"/>
      <c r="F61" s="2"/>
      <c r="G61" s="7" t="s">
        <v>33</v>
      </c>
      <c r="H61" s="6" t="s">
        <v>34</v>
      </c>
      <c r="I61" s="3"/>
      <c r="J61" s="3"/>
      <c r="K61" s="3"/>
      <c r="L61" s="22">
        <v>350</v>
      </c>
      <c r="M61" s="3"/>
      <c r="N61" s="3"/>
      <c r="O61" s="24">
        <v>350</v>
      </c>
    </row>
    <row r="62" spans="1:15" x14ac:dyDescent="0.25">
      <c r="A62" s="4"/>
      <c r="B62" s="2"/>
      <c r="C62" s="2"/>
      <c r="D62" s="2"/>
      <c r="E62" s="2"/>
      <c r="F62" s="2"/>
      <c r="G62" s="7" t="s">
        <v>35</v>
      </c>
      <c r="H62" s="6" t="s">
        <v>36</v>
      </c>
      <c r="I62" s="3"/>
      <c r="J62" s="3"/>
      <c r="K62" s="3"/>
      <c r="L62" s="3"/>
      <c r="M62" s="22">
        <v>491</v>
      </c>
      <c r="N62" s="3"/>
      <c r="O62" s="24">
        <v>491</v>
      </c>
    </row>
    <row r="63" spans="1:15" x14ac:dyDescent="0.25">
      <c r="A63" s="4"/>
      <c r="B63" s="2"/>
      <c r="C63" s="2"/>
      <c r="D63" s="2"/>
      <c r="E63" s="2"/>
      <c r="F63" s="2"/>
      <c r="G63" s="7" t="s">
        <v>37</v>
      </c>
      <c r="H63" s="6" t="s">
        <v>38</v>
      </c>
      <c r="I63" s="3"/>
      <c r="J63" s="3"/>
      <c r="K63" s="3"/>
      <c r="L63" s="3"/>
      <c r="M63" s="22">
        <v>177</v>
      </c>
      <c r="N63" s="3"/>
      <c r="O63" s="24">
        <v>177</v>
      </c>
    </row>
    <row r="64" spans="1:15" x14ac:dyDescent="0.25">
      <c r="A64" s="4"/>
      <c r="B64" s="2"/>
      <c r="C64" s="2"/>
      <c r="D64" s="2"/>
      <c r="E64" s="2"/>
      <c r="F64" s="2"/>
      <c r="G64" s="7" t="s">
        <v>39</v>
      </c>
      <c r="H64" s="6" t="s">
        <v>40</v>
      </c>
      <c r="I64" s="3"/>
      <c r="J64" s="3"/>
      <c r="K64" s="3"/>
      <c r="L64" s="3"/>
      <c r="M64" s="3"/>
      <c r="N64" s="22">
        <v>265</v>
      </c>
      <c r="O64" s="24">
        <v>265</v>
      </c>
    </row>
    <row r="65" spans="1:15" x14ac:dyDescent="0.25">
      <c r="A65" s="4"/>
      <c r="B65" s="4"/>
      <c r="C65" s="4"/>
      <c r="D65" s="4"/>
      <c r="E65" s="4"/>
      <c r="F65" s="4"/>
      <c r="G65" s="6" t="s">
        <v>41</v>
      </c>
      <c r="H65" s="6" t="s">
        <v>42</v>
      </c>
      <c r="I65" s="15"/>
      <c r="J65" s="15"/>
      <c r="K65" s="15"/>
      <c r="L65" s="15"/>
      <c r="M65" s="15"/>
      <c r="N65" s="23">
        <v>158</v>
      </c>
      <c r="O65" s="25">
        <v>158</v>
      </c>
    </row>
  </sheetData>
  <pageMargins left="0.7" right="0.7" top="0.75" bottom="0.75" header="0.3" footer="0.3"/>
  <pageSetup scale="50" orientation="landscape" horizontalDpi="1200" verticalDpi="1200" r:id="rId1"/>
  <headerFooter>
    <oddHeader>&amp;RCASE NO. 2021-00214
ATTACHMENT 1
TO STAFF DR NO. 3-09</oddHeader>
  </headerFooter>
  <customProperties>
    <customPr name="_pios_id" r:id="rId2"/>
    <customPr name="CofWorksheetType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2.7.601.90251</Revision>
</Application>
</file>

<file path=customXml/itemProps1.xml><?xml version="1.0" encoding="utf-8"?>
<ds:datastoreItem xmlns:ds="http://schemas.openxmlformats.org/officeDocument/2006/customXml" ds:itemID="{88F21530-2781-4D64-A231-0138E7134B4F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WNA Calc</vt:lpstr>
      <vt:lpstr>SAP</vt:lpstr>
      <vt:lpstr>'WNA Calc'!Print_Area</vt:lpstr>
      <vt:lpstr>'WNA Calc'!SAPCrosstab1</vt:lpstr>
      <vt:lpstr>'WNA Calc'!SAPCrosstab2</vt:lpstr>
      <vt:lpstr>SAPCrosstab3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E Roach</dc:creator>
  <cp:lastModifiedBy>Eric J Wilen</cp:lastModifiedBy>
  <cp:lastPrinted>2021-09-14T14:31:10Z</cp:lastPrinted>
  <dcterms:created xsi:type="dcterms:W3CDTF">2021-09-02T16:54:59Z</dcterms:created>
  <dcterms:modified xsi:type="dcterms:W3CDTF">2021-09-14T14:31:14Z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ustomUiType">
    <vt:lpwstr>2</vt:lpwstr>
  </property>
</Properties>
</file>